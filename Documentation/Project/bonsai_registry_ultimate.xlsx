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es" sheetId="1" state="visible" r:id="rId1"/>
    <sheet xmlns:r="http://schemas.openxmlformats.org/officeDocument/2006/relationships" name="Lists" sheetId="2" state="visible"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99"/>
  <sheetViews>
    <sheetView workbookViewId="0">
      <selection activeCell="A1" sqref="A1"/>
    </sheetView>
  </sheetViews>
  <sheetFormatPr baseColWidth="8" defaultRowHeight="15"/>
  <sheetData>
    <row r="1">
      <c r="A1" t="inlineStr">
        <is>
          <t>Tree ID</t>
        </is>
      </c>
      <c r="B1" t="inlineStr">
        <is>
          <t>Art (Species)</t>
        </is>
      </c>
      <c r="C1" t="inlineStr">
        <is>
          <t>Variant / Cultivar</t>
        </is>
      </c>
      <c r="D1" t="inlineStr">
        <is>
          <t>År</t>
        </is>
      </c>
      <c r="E1" t="inlineStr">
        <is>
          <t>Løpenummer (auto)</t>
        </is>
      </c>
      <c r="F1" t="inlineStr">
        <is>
          <t>Status</t>
        </is>
      </c>
      <c r="G1" t="inlineStr">
        <is>
          <t>Anskaffelse</t>
        </is>
      </c>
      <c r="H1" t="inlineStr">
        <is>
          <t>Anskaffelsesverdi</t>
        </is>
      </c>
      <c r="I1" t="inlineStr">
        <is>
          <t>Hvor kjøpt / tidligere eier</t>
        </is>
      </c>
      <c r="J1" t="inlineStr">
        <is>
          <t>Estimert alder</t>
        </is>
      </c>
      <c r="K1" t="inlineStr">
        <is>
          <t>Potte</t>
        </is>
      </c>
      <c r="L1" t="inlineStr">
        <is>
          <t>Plassering</t>
        </is>
      </c>
      <c r="M1" t="inlineStr">
        <is>
          <t>Notater</t>
        </is>
      </c>
    </row>
    <row r="2">
      <c r="A2">
        <f>IF(B2="","",VLOOKUP(B2,Lists!$A$2:$B$25,2,FALSE)&amp;"-"&amp;D2&amp;"-"&amp;TEXT(E2,"000"))</f>
        <v/>
      </c>
      <c r="E2">
        <f>IF(B2="","",COUNTIFS($B$2:B2,B2,$D$2:D2,D2))</f>
        <v/>
      </c>
    </row>
    <row r="3">
      <c r="A3">
        <f>IF(B3="","",VLOOKUP(B3,Lists!$A$2:$B$25,2,FALSE)&amp;"-"&amp;D3&amp;"-"&amp;TEXT(E3,"000"))</f>
        <v/>
      </c>
      <c r="E3">
        <f>IF(B3="","",COUNTIFS($B$2:B3,B3,$D$2:D3,D3))</f>
        <v/>
      </c>
    </row>
    <row r="4">
      <c r="A4">
        <f>IF(B4="","",VLOOKUP(B4,Lists!$A$2:$B$25,2,FALSE)&amp;"-"&amp;D4&amp;"-"&amp;TEXT(E4,"000"))</f>
        <v/>
      </c>
      <c r="E4">
        <f>IF(B4="","",COUNTIFS($B$2:B4,B4,$D$2:D4,D4))</f>
        <v/>
      </c>
    </row>
    <row r="5">
      <c r="A5">
        <f>IF(B5="","",VLOOKUP(B5,Lists!$A$2:$B$25,2,FALSE)&amp;"-"&amp;D5&amp;"-"&amp;TEXT(E5,"000"))</f>
        <v/>
      </c>
      <c r="E5">
        <f>IF(B5="","",COUNTIFS($B$2:B5,B5,$D$2:D5,D5))</f>
        <v/>
      </c>
    </row>
    <row r="6">
      <c r="A6">
        <f>IF(B6="","",VLOOKUP(B6,Lists!$A$2:$B$25,2,FALSE)&amp;"-"&amp;D6&amp;"-"&amp;TEXT(E6,"000"))</f>
        <v/>
      </c>
      <c r="E6">
        <f>IF(B6="","",COUNTIFS($B$2:B6,B6,$D$2:D6,D6))</f>
        <v/>
      </c>
    </row>
    <row r="7">
      <c r="A7">
        <f>IF(B7="","",VLOOKUP(B7,Lists!$A$2:$B$25,2,FALSE)&amp;"-"&amp;D7&amp;"-"&amp;TEXT(E7,"000"))</f>
        <v/>
      </c>
      <c r="E7">
        <f>IF(B7="","",COUNTIFS($B$2:B7,B7,$D$2:D7,D7))</f>
        <v/>
      </c>
    </row>
    <row r="8">
      <c r="A8">
        <f>IF(B8="","",VLOOKUP(B8,Lists!$A$2:$B$25,2,FALSE)&amp;"-"&amp;D8&amp;"-"&amp;TEXT(E8,"000"))</f>
        <v/>
      </c>
      <c r="E8">
        <f>IF(B8="","",COUNTIFS($B$2:B8,B8,$D$2:D8,D8))</f>
        <v/>
      </c>
    </row>
    <row r="9">
      <c r="A9">
        <f>IF(B9="","",VLOOKUP(B9,Lists!$A$2:$B$25,2,FALSE)&amp;"-"&amp;D9&amp;"-"&amp;TEXT(E9,"000"))</f>
        <v/>
      </c>
      <c r="E9">
        <f>IF(B9="","",COUNTIFS($B$2:B9,B9,$D$2:D9,D9))</f>
        <v/>
      </c>
    </row>
    <row r="10">
      <c r="A10">
        <f>IF(B10="","",VLOOKUP(B10,Lists!$A$2:$B$25,2,FALSE)&amp;"-"&amp;D10&amp;"-"&amp;TEXT(E10,"000"))</f>
        <v/>
      </c>
      <c r="E10">
        <f>IF(B10="","",COUNTIFS($B$2:B10,B10,$D$2:D10,D10))</f>
        <v/>
      </c>
    </row>
    <row r="11">
      <c r="A11">
        <f>IF(B11="","",VLOOKUP(B11,Lists!$A$2:$B$25,2,FALSE)&amp;"-"&amp;D11&amp;"-"&amp;TEXT(E11,"000"))</f>
        <v/>
      </c>
      <c r="E11">
        <f>IF(B11="","",COUNTIFS($B$2:B11,B11,$D$2:D11,D11))</f>
        <v/>
      </c>
    </row>
    <row r="12">
      <c r="A12">
        <f>IF(B12="","",VLOOKUP(B12,Lists!$A$2:$B$25,2,FALSE)&amp;"-"&amp;D12&amp;"-"&amp;TEXT(E12,"000"))</f>
        <v/>
      </c>
      <c r="E12">
        <f>IF(B12="","",COUNTIFS($B$2:B12,B12,$D$2:D12,D12))</f>
        <v/>
      </c>
    </row>
    <row r="13">
      <c r="A13">
        <f>IF(B13="","",VLOOKUP(B13,Lists!$A$2:$B$25,2,FALSE)&amp;"-"&amp;D13&amp;"-"&amp;TEXT(E13,"000"))</f>
        <v/>
      </c>
      <c r="E13">
        <f>IF(B13="","",COUNTIFS($B$2:B13,B13,$D$2:D13,D13))</f>
        <v/>
      </c>
    </row>
    <row r="14">
      <c r="A14">
        <f>IF(B14="","",VLOOKUP(B14,Lists!$A$2:$B$25,2,FALSE)&amp;"-"&amp;D14&amp;"-"&amp;TEXT(E14,"000"))</f>
        <v/>
      </c>
      <c r="E14">
        <f>IF(B14="","",COUNTIFS($B$2:B14,B14,$D$2:D14,D14))</f>
        <v/>
      </c>
    </row>
    <row r="15">
      <c r="A15">
        <f>IF(B15="","",VLOOKUP(B15,Lists!$A$2:$B$25,2,FALSE)&amp;"-"&amp;D15&amp;"-"&amp;TEXT(E15,"000"))</f>
        <v/>
      </c>
      <c r="E15">
        <f>IF(B15="","",COUNTIFS($B$2:B15,B15,$D$2:D15,D15))</f>
        <v/>
      </c>
    </row>
    <row r="16">
      <c r="A16">
        <f>IF(B16="","",VLOOKUP(B16,Lists!$A$2:$B$25,2,FALSE)&amp;"-"&amp;D16&amp;"-"&amp;TEXT(E16,"000"))</f>
        <v/>
      </c>
      <c r="E16">
        <f>IF(B16="","",COUNTIFS($B$2:B16,B16,$D$2:D16,D16))</f>
        <v/>
      </c>
    </row>
    <row r="17">
      <c r="A17">
        <f>IF(B17="","",VLOOKUP(B17,Lists!$A$2:$B$25,2,FALSE)&amp;"-"&amp;D17&amp;"-"&amp;TEXT(E17,"000"))</f>
        <v/>
      </c>
      <c r="E17">
        <f>IF(B17="","",COUNTIFS($B$2:B17,B17,$D$2:D17,D17))</f>
        <v/>
      </c>
    </row>
    <row r="18">
      <c r="A18">
        <f>IF(B18="","",VLOOKUP(B18,Lists!$A$2:$B$25,2,FALSE)&amp;"-"&amp;D18&amp;"-"&amp;TEXT(E18,"000"))</f>
        <v/>
      </c>
      <c r="E18">
        <f>IF(B18="","",COUNTIFS($B$2:B18,B18,$D$2:D18,D18))</f>
        <v/>
      </c>
    </row>
    <row r="19">
      <c r="A19">
        <f>IF(B19="","",VLOOKUP(B19,Lists!$A$2:$B$25,2,FALSE)&amp;"-"&amp;D19&amp;"-"&amp;TEXT(E19,"000"))</f>
        <v/>
      </c>
      <c r="E19">
        <f>IF(B19="","",COUNTIFS($B$2:B19,B19,$D$2:D19,D19))</f>
        <v/>
      </c>
    </row>
    <row r="20">
      <c r="A20">
        <f>IF(B20="","",VLOOKUP(B20,Lists!$A$2:$B$25,2,FALSE)&amp;"-"&amp;D20&amp;"-"&amp;TEXT(E20,"000"))</f>
        <v/>
      </c>
      <c r="E20">
        <f>IF(B20="","",COUNTIFS($B$2:B20,B20,$D$2:D20,D20))</f>
        <v/>
      </c>
    </row>
    <row r="21">
      <c r="A21">
        <f>IF(B21="","",VLOOKUP(B21,Lists!$A$2:$B$25,2,FALSE)&amp;"-"&amp;D21&amp;"-"&amp;TEXT(E21,"000"))</f>
        <v/>
      </c>
      <c r="E21">
        <f>IF(B21="","",COUNTIFS($B$2:B21,B21,$D$2:D21,D21))</f>
        <v/>
      </c>
    </row>
    <row r="22">
      <c r="A22">
        <f>IF(B22="","",VLOOKUP(B22,Lists!$A$2:$B$25,2,FALSE)&amp;"-"&amp;D22&amp;"-"&amp;TEXT(E22,"000"))</f>
        <v/>
      </c>
      <c r="E22">
        <f>IF(B22="","",COUNTIFS($B$2:B22,B22,$D$2:D22,D22))</f>
        <v/>
      </c>
    </row>
    <row r="23">
      <c r="A23">
        <f>IF(B23="","",VLOOKUP(B23,Lists!$A$2:$B$25,2,FALSE)&amp;"-"&amp;D23&amp;"-"&amp;TEXT(E23,"000"))</f>
        <v/>
      </c>
      <c r="E23">
        <f>IF(B23="","",COUNTIFS($B$2:B23,B23,$D$2:D23,D23))</f>
        <v/>
      </c>
    </row>
    <row r="24">
      <c r="A24">
        <f>IF(B24="","",VLOOKUP(B24,Lists!$A$2:$B$25,2,FALSE)&amp;"-"&amp;D24&amp;"-"&amp;TEXT(E24,"000"))</f>
        <v/>
      </c>
      <c r="E24">
        <f>IF(B24="","",COUNTIFS($B$2:B24,B24,$D$2:D24,D24))</f>
        <v/>
      </c>
    </row>
    <row r="25">
      <c r="A25">
        <f>IF(B25="","",VLOOKUP(B25,Lists!$A$2:$B$25,2,FALSE)&amp;"-"&amp;D25&amp;"-"&amp;TEXT(E25,"000"))</f>
        <v/>
      </c>
      <c r="E25">
        <f>IF(B25="","",COUNTIFS($B$2:B25,B25,$D$2:D25,D25))</f>
        <v/>
      </c>
    </row>
    <row r="26">
      <c r="A26">
        <f>IF(B26="","",VLOOKUP(B26,Lists!$A$2:$B$25,2,FALSE)&amp;"-"&amp;D26&amp;"-"&amp;TEXT(E26,"000"))</f>
        <v/>
      </c>
      <c r="E26">
        <f>IF(B26="","",COUNTIFS($B$2:B26,B26,$D$2:D26,D26))</f>
        <v/>
      </c>
    </row>
    <row r="27">
      <c r="A27">
        <f>IF(B27="","",VLOOKUP(B27,Lists!$A$2:$B$25,2,FALSE)&amp;"-"&amp;D27&amp;"-"&amp;TEXT(E27,"000"))</f>
        <v/>
      </c>
      <c r="E27">
        <f>IF(B27="","",COUNTIFS($B$2:B27,B27,$D$2:D27,D27))</f>
        <v/>
      </c>
    </row>
    <row r="28">
      <c r="A28">
        <f>IF(B28="","",VLOOKUP(B28,Lists!$A$2:$B$25,2,FALSE)&amp;"-"&amp;D28&amp;"-"&amp;TEXT(E28,"000"))</f>
        <v/>
      </c>
      <c r="E28">
        <f>IF(B28="","",COUNTIFS($B$2:B28,B28,$D$2:D28,D28))</f>
        <v/>
      </c>
    </row>
    <row r="29">
      <c r="A29">
        <f>IF(B29="","",VLOOKUP(B29,Lists!$A$2:$B$25,2,FALSE)&amp;"-"&amp;D29&amp;"-"&amp;TEXT(E29,"000"))</f>
        <v/>
      </c>
      <c r="E29">
        <f>IF(B29="","",COUNTIFS($B$2:B29,B29,$D$2:D29,D29))</f>
        <v/>
      </c>
    </row>
    <row r="30">
      <c r="A30">
        <f>IF(B30="","",VLOOKUP(B30,Lists!$A$2:$B$25,2,FALSE)&amp;"-"&amp;D30&amp;"-"&amp;TEXT(E30,"000"))</f>
        <v/>
      </c>
      <c r="E30">
        <f>IF(B30="","",COUNTIFS($B$2:B30,B30,$D$2:D30,D30))</f>
        <v/>
      </c>
    </row>
    <row r="31">
      <c r="A31">
        <f>IF(B31="","",VLOOKUP(B31,Lists!$A$2:$B$25,2,FALSE)&amp;"-"&amp;D31&amp;"-"&amp;TEXT(E31,"000"))</f>
        <v/>
      </c>
      <c r="E31">
        <f>IF(B31="","",COUNTIFS($B$2:B31,B31,$D$2:D31,D31))</f>
        <v/>
      </c>
    </row>
    <row r="32">
      <c r="A32">
        <f>IF(B32="","",VLOOKUP(B32,Lists!$A$2:$B$25,2,FALSE)&amp;"-"&amp;D32&amp;"-"&amp;TEXT(E32,"000"))</f>
        <v/>
      </c>
      <c r="E32">
        <f>IF(B32="","",COUNTIFS($B$2:B32,B32,$D$2:D32,D32))</f>
        <v/>
      </c>
    </row>
    <row r="33">
      <c r="A33">
        <f>IF(B33="","",VLOOKUP(B33,Lists!$A$2:$B$25,2,FALSE)&amp;"-"&amp;D33&amp;"-"&amp;TEXT(E33,"000"))</f>
        <v/>
      </c>
      <c r="E33">
        <f>IF(B33="","",COUNTIFS($B$2:B33,B33,$D$2:D33,D33))</f>
        <v/>
      </c>
    </row>
    <row r="34">
      <c r="A34">
        <f>IF(B34="","",VLOOKUP(B34,Lists!$A$2:$B$25,2,FALSE)&amp;"-"&amp;D34&amp;"-"&amp;TEXT(E34,"000"))</f>
        <v/>
      </c>
      <c r="E34">
        <f>IF(B34="","",COUNTIFS($B$2:B34,B34,$D$2:D34,D34))</f>
        <v/>
      </c>
    </row>
    <row r="35">
      <c r="A35">
        <f>IF(B35="","",VLOOKUP(B35,Lists!$A$2:$B$25,2,FALSE)&amp;"-"&amp;D35&amp;"-"&amp;TEXT(E35,"000"))</f>
        <v/>
      </c>
      <c r="E35">
        <f>IF(B35="","",COUNTIFS($B$2:B35,B35,$D$2:D35,D35))</f>
        <v/>
      </c>
    </row>
    <row r="36">
      <c r="A36">
        <f>IF(B36="","",VLOOKUP(B36,Lists!$A$2:$B$25,2,FALSE)&amp;"-"&amp;D36&amp;"-"&amp;TEXT(E36,"000"))</f>
        <v/>
      </c>
      <c r="E36">
        <f>IF(B36="","",COUNTIFS($B$2:B36,B36,$D$2:D36,D36))</f>
        <v/>
      </c>
    </row>
    <row r="37">
      <c r="A37">
        <f>IF(B37="","",VLOOKUP(B37,Lists!$A$2:$B$25,2,FALSE)&amp;"-"&amp;D37&amp;"-"&amp;TEXT(E37,"000"))</f>
        <v/>
      </c>
      <c r="E37">
        <f>IF(B37="","",COUNTIFS($B$2:B37,B37,$D$2:D37,D37))</f>
        <v/>
      </c>
    </row>
    <row r="38">
      <c r="A38">
        <f>IF(B38="","",VLOOKUP(B38,Lists!$A$2:$B$25,2,FALSE)&amp;"-"&amp;D38&amp;"-"&amp;TEXT(E38,"000"))</f>
        <v/>
      </c>
      <c r="E38">
        <f>IF(B38="","",COUNTIFS($B$2:B38,B38,$D$2:D38,D38))</f>
        <v/>
      </c>
    </row>
    <row r="39">
      <c r="A39">
        <f>IF(B39="","",VLOOKUP(B39,Lists!$A$2:$B$25,2,FALSE)&amp;"-"&amp;D39&amp;"-"&amp;TEXT(E39,"000"))</f>
        <v/>
      </c>
      <c r="E39">
        <f>IF(B39="","",COUNTIFS($B$2:B39,B39,$D$2:D39,D39))</f>
        <v/>
      </c>
    </row>
    <row r="40">
      <c r="A40">
        <f>IF(B40="","",VLOOKUP(B40,Lists!$A$2:$B$25,2,FALSE)&amp;"-"&amp;D40&amp;"-"&amp;TEXT(E40,"000"))</f>
        <v/>
      </c>
      <c r="E40">
        <f>IF(B40="","",COUNTIFS($B$2:B40,B40,$D$2:D40,D40))</f>
        <v/>
      </c>
    </row>
    <row r="41">
      <c r="A41">
        <f>IF(B41="","",VLOOKUP(B41,Lists!$A$2:$B$25,2,FALSE)&amp;"-"&amp;D41&amp;"-"&amp;TEXT(E41,"000"))</f>
        <v/>
      </c>
      <c r="E41">
        <f>IF(B41="","",COUNTIFS($B$2:B41,B41,$D$2:D41,D41))</f>
        <v/>
      </c>
    </row>
    <row r="42">
      <c r="A42">
        <f>IF(B42="","",VLOOKUP(B42,Lists!$A$2:$B$25,2,FALSE)&amp;"-"&amp;D42&amp;"-"&amp;TEXT(E42,"000"))</f>
        <v/>
      </c>
      <c r="E42">
        <f>IF(B42="","",COUNTIFS($B$2:B42,B42,$D$2:D42,D42))</f>
        <v/>
      </c>
    </row>
    <row r="43">
      <c r="A43">
        <f>IF(B43="","",VLOOKUP(B43,Lists!$A$2:$B$25,2,FALSE)&amp;"-"&amp;D43&amp;"-"&amp;TEXT(E43,"000"))</f>
        <v/>
      </c>
      <c r="E43">
        <f>IF(B43="","",COUNTIFS($B$2:B43,B43,$D$2:D43,D43))</f>
        <v/>
      </c>
    </row>
    <row r="44">
      <c r="A44">
        <f>IF(B44="","",VLOOKUP(B44,Lists!$A$2:$B$25,2,FALSE)&amp;"-"&amp;D44&amp;"-"&amp;TEXT(E44,"000"))</f>
        <v/>
      </c>
      <c r="E44">
        <f>IF(B44="","",COUNTIFS($B$2:B44,B44,$D$2:D44,D44))</f>
        <v/>
      </c>
    </row>
    <row r="45">
      <c r="A45">
        <f>IF(B45="","",VLOOKUP(B45,Lists!$A$2:$B$25,2,FALSE)&amp;"-"&amp;D45&amp;"-"&amp;TEXT(E45,"000"))</f>
        <v/>
      </c>
      <c r="E45">
        <f>IF(B45="","",COUNTIFS($B$2:B45,B45,$D$2:D45,D45))</f>
        <v/>
      </c>
    </row>
    <row r="46">
      <c r="A46">
        <f>IF(B46="","",VLOOKUP(B46,Lists!$A$2:$B$25,2,FALSE)&amp;"-"&amp;D46&amp;"-"&amp;TEXT(E46,"000"))</f>
        <v/>
      </c>
      <c r="E46">
        <f>IF(B46="","",COUNTIFS($B$2:B46,B46,$D$2:D46,D46))</f>
        <v/>
      </c>
    </row>
    <row r="47">
      <c r="A47">
        <f>IF(B47="","",VLOOKUP(B47,Lists!$A$2:$B$25,2,FALSE)&amp;"-"&amp;D47&amp;"-"&amp;TEXT(E47,"000"))</f>
        <v/>
      </c>
      <c r="E47">
        <f>IF(B47="","",COUNTIFS($B$2:B47,B47,$D$2:D47,D47))</f>
        <v/>
      </c>
    </row>
    <row r="48">
      <c r="A48">
        <f>IF(B48="","",VLOOKUP(B48,Lists!$A$2:$B$25,2,FALSE)&amp;"-"&amp;D48&amp;"-"&amp;TEXT(E48,"000"))</f>
        <v/>
      </c>
      <c r="E48">
        <f>IF(B48="","",COUNTIFS($B$2:B48,B48,$D$2:D48,D48))</f>
        <v/>
      </c>
    </row>
    <row r="49">
      <c r="A49">
        <f>IF(B49="","",VLOOKUP(B49,Lists!$A$2:$B$25,2,FALSE)&amp;"-"&amp;D49&amp;"-"&amp;TEXT(E49,"000"))</f>
        <v/>
      </c>
      <c r="E49">
        <f>IF(B49="","",COUNTIFS($B$2:B49,B49,$D$2:D49,D49))</f>
        <v/>
      </c>
    </row>
    <row r="50">
      <c r="A50">
        <f>IF(B50="","",VLOOKUP(B50,Lists!$A$2:$B$25,2,FALSE)&amp;"-"&amp;D50&amp;"-"&amp;TEXT(E50,"000"))</f>
        <v/>
      </c>
      <c r="E50">
        <f>IF(B50="","",COUNTIFS($B$2:B50,B50,$D$2:D50,D50))</f>
        <v/>
      </c>
    </row>
    <row r="51">
      <c r="A51">
        <f>IF(B51="","",VLOOKUP(B51,Lists!$A$2:$B$25,2,FALSE)&amp;"-"&amp;D51&amp;"-"&amp;TEXT(E51,"000"))</f>
        <v/>
      </c>
      <c r="E51">
        <f>IF(B51="","",COUNTIFS($B$2:B51,B51,$D$2:D51,D51))</f>
        <v/>
      </c>
    </row>
    <row r="52">
      <c r="A52">
        <f>IF(B52="","",VLOOKUP(B52,Lists!$A$2:$B$25,2,FALSE)&amp;"-"&amp;D52&amp;"-"&amp;TEXT(E52,"000"))</f>
        <v/>
      </c>
      <c r="E52">
        <f>IF(B52="","",COUNTIFS($B$2:B52,B52,$D$2:D52,D52))</f>
        <v/>
      </c>
    </row>
    <row r="53">
      <c r="A53">
        <f>IF(B53="","",VLOOKUP(B53,Lists!$A$2:$B$25,2,FALSE)&amp;"-"&amp;D53&amp;"-"&amp;TEXT(E53,"000"))</f>
        <v/>
      </c>
      <c r="E53">
        <f>IF(B53="","",COUNTIFS($B$2:B53,B53,$D$2:D53,D53))</f>
        <v/>
      </c>
    </row>
    <row r="54">
      <c r="A54">
        <f>IF(B54="","",VLOOKUP(B54,Lists!$A$2:$B$25,2,FALSE)&amp;"-"&amp;D54&amp;"-"&amp;TEXT(E54,"000"))</f>
        <v/>
      </c>
      <c r="E54">
        <f>IF(B54="","",COUNTIFS($B$2:B54,B54,$D$2:D54,D54))</f>
        <v/>
      </c>
    </row>
    <row r="55">
      <c r="A55">
        <f>IF(B55="","",VLOOKUP(B55,Lists!$A$2:$B$25,2,FALSE)&amp;"-"&amp;D55&amp;"-"&amp;TEXT(E55,"000"))</f>
        <v/>
      </c>
      <c r="E55">
        <f>IF(B55="","",COUNTIFS($B$2:B55,B55,$D$2:D55,D55))</f>
        <v/>
      </c>
    </row>
    <row r="56">
      <c r="A56">
        <f>IF(B56="","",VLOOKUP(B56,Lists!$A$2:$B$25,2,FALSE)&amp;"-"&amp;D56&amp;"-"&amp;TEXT(E56,"000"))</f>
        <v/>
      </c>
      <c r="E56">
        <f>IF(B56="","",COUNTIFS($B$2:B56,B56,$D$2:D56,D56))</f>
        <v/>
      </c>
    </row>
    <row r="57">
      <c r="A57">
        <f>IF(B57="","",VLOOKUP(B57,Lists!$A$2:$B$25,2,FALSE)&amp;"-"&amp;D57&amp;"-"&amp;TEXT(E57,"000"))</f>
        <v/>
      </c>
      <c r="E57">
        <f>IF(B57="","",COUNTIFS($B$2:B57,B57,$D$2:D57,D57))</f>
        <v/>
      </c>
    </row>
    <row r="58">
      <c r="A58">
        <f>IF(B58="","",VLOOKUP(B58,Lists!$A$2:$B$25,2,FALSE)&amp;"-"&amp;D58&amp;"-"&amp;TEXT(E58,"000"))</f>
        <v/>
      </c>
      <c r="E58">
        <f>IF(B58="","",COUNTIFS($B$2:B58,B58,$D$2:D58,D58))</f>
        <v/>
      </c>
    </row>
    <row r="59">
      <c r="A59">
        <f>IF(B59="","",VLOOKUP(B59,Lists!$A$2:$B$25,2,FALSE)&amp;"-"&amp;D59&amp;"-"&amp;TEXT(E59,"000"))</f>
        <v/>
      </c>
      <c r="E59">
        <f>IF(B59="","",COUNTIFS($B$2:B59,B59,$D$2:D59,D59))</f>
        <v/>
      </c>
    </row>
    <row r="60">
      <c r="A60">
        <f>IF(B60="","",VLOOKUP(B60,Lists!$A$2:$B$25,2,FALSE)&amp;"-"&amp;D60&amp;"-"&amp;TEXT(E60,"000"))</f>
        <v/>
      </c>
      <c r="E60">
        <f>IF(B60="","",COUNTIFS($B$2:B60,B60,$D$2:D60,D60))</f>
        <v/>
      </c>
    </row>
    <row r="61">
      <c r="A61">
        <f>IF(B61="","",VLOOKUP(B61,Lists!$A$2:$B$25,2,FALSE)&amp;"-"&amp;D61&amp;"-"&amp;TEXT(E61,"000"))</f>
        <v/>
      </c>
      <c r="E61">
        <f>IF(B61="","",COUNTIFS($B$2:B61,B61,$D$2:D61,D61))</f>
        <v/>
      </c>
    </row>
    <row r="62">
      <c r="A62">
        <f>IF(B62="","",VLOOKUP(B62,Lists!$A$2:$B$25,2,FALSE)&amp;"-"&amp;D62&amp;"-"&amp;TEXT(E62,"000"))</f>
        <v/>
      </c>
      <c r="E62">
        <f>IF(B62="","",COUNTIFS($B$2:B62,B62,$D$2:D62,D62))</f>
        <v/>
      </c>
    </row>
    <row r="63">
      <c r="A63">
        <f>IF(B63="","",VLOOKUP(B63,Lists!$A$2:$B$25,2,FALSE)&amp;"-"&amp;D63&amp;"-"&amp;TEXT(E63,"000"))</f>
        <v/>
      </c>
      <c r="E63">
        <f>IF(B63="","",COUNTIFS($B$2:B63,B63,$D$2:D63,D63))</f>
        <v/>
      </c>
    </row>
    <row r="64">
      <c r="A64">
        <f>IF(B64="","",VLOOKUP(B64,Lists!$A$2:$B$25,2,FALSE)&amp;"-"&amp;D64&amp;"-"&amp;TEXT(E64,"000"))</f>
        <v/>
      </c>
      <c r="E64">
        <f>IF(B64="","",COUNTIFS($B$2:B64,B64,$D$2:D64,D64))</f>
        <v/>
      </c>
    </row>
    <row r="65">
      <c r="A65">
        <f>IF(B65="","",VLOOKUP(B65,Lists!$A$2:$B$25,2,FALSE)&amp;"-"&amp;D65&amp;"-"&amp;TEXT(E65,"000"))</f>
        <v/>
      </c>
      <c r="E65">
        <f>IF(B65="","",COUNTIFS($B$2:B65,B65,$D$2:D65,D65))</f>
        <v/>
      </c>
    </row>
    <row r="66">
      <c r="A66">
        <f>IF(B66="","",VLOOKUP(B66,Lists!$A$2:$B$25,2,FALSE)&amp;"-"&amp;D66&amp;"-"&amp;TEXT(E66,"000"))</f>
        <v/>
      </c>
      <c r="E66">
        <f>IF(B66="","",COUNTIFS($B$2:B66,B66,$D$2:D66,D66))</f>
        <v/>
      </c>
    </row>
    <row r="67">
      <c r="A67">
        <f>IF(B67="","",VLOOKUP(B67,Lists!$A$2:$B$25,2,FALSE)&amp;"-"&amp;D67&amp;"-"&amp;TEXT(E67,"000"))</f>
        <v/>
      </c>
      <c r="E67">
        <f>IF(B67="","",COUNTIFS($B$2:B67,B67,$D$2:D67,D67))</f>
        <v/>
      </c>
    </row>
    <row r="68">
      <c r="A68">
        <f>IF(B68="","",VLOOKUP(B68,Lists!$A$2:$B$25,2,FALSE)&amp;"-"&amp;D68&amp;"-"&amp;TEXT(E68,"000"))</f>
        <v/>
      </c>
      <c r="E68">
        <f>IF(B68="","",COUNTIFS($B$2:B68,B68,$D$2:D68,D68))</f>
        <v/>
      </c>
    </row>
    <row r="69">
      <c r="A69">
        <f>IF(B69="","",VLOOKUP(B69,Lists!$A$2:$B$25,2,FALSE)&amp;"-"&amp;D69&amp;"-"&amp;TEXT(E69,"000"))</f>
        <v/>
      </c>
      <c r="E69">
        <f>IF(B69="","",COUNTIFS($B$2:B69,B69,$D$2:D69,D69))</f>
        <v/>
      </c>
    </row>
    <row r="70">
      <c r="A70">
        <f>IF(B70="","",VLOOKUP(B70,Lists!$A$2:$B$25,2,FALSE)&amp;"-"&amp;D70&amp;"-"&amp;TEXT(E70,"000"))</f>
        <v/>
      </c>
      <c r="E70">
        <f>IF(B70="","",COUNTIFS($B$2:B70,B70,$D$2:D70,D70))</f>
        <v/>
      </c>
    </row>
    <row r="71">
      <c r="A71">
        <f>IF(B71="","",VLOOKUP(B71,Lists!$A$2:$B$25,2,FALSE)&amp;"-"&amp;D71&amp;"-"&amp;TEXT(E71,"000"))</f>
        <v/>
      </c>
      <c r="E71">
        <f>IF(B71="","",COUNTIFS($B$2:B71,B71,$D$2:D71,D71))</f>
        <v/>
      </c>
    </row>
    <row r="72">
      <c r="A72">
        <f>IF(B72="","",VLOOKUP(B72,Lists!$A$2:$B$25,2,FALSE)&amp;"-"&amp;D72&amp;"-"&amp;TEXT(E72,"000"))</f>
        <v/>
      </c>
      <c r="E72">
        <f>IF(B72="","",COUNTIFS($B$2:B72,B72,$D$2:D72,D72))</f>
        <v/>
      </c>
    </row>
    <row r="73">
      <c r="A73">
        <f>IF(B73="","",VLOOKUP(B73,Lists!$A$2:$B$25,2,FALSE)&amp;"-"&amp;D73&amp;"-"&amp;TEXT(E73,"000"))</f>
        <v/>
      </c>
      <c r="E73">
        <f>IF(B73="","",COUNTIFS($B$2:B73,B73,$D$2:D73,D73))</f>
        <v/>
      </c>
    </row>
    <row r="74">
      <c r="A74">
        <f>IF(B74="","",VLOOKUP(B74,Lists!$A$2:$B$25,2,FALSE)&amp;"-"&amp;D74&amp;"-"&amp;TEXT(E74,"000"))</f>
        <v/>
      </c>
      <c r="E74">
        <f>IF(B74="","",COUNTIFS($B$2:B74,B74,$D$2:D74,D74))</f>
        <v/>
      </c>
    </row>
    <row r="75">
      <c r="A75">
        <f>IF(B75="","",VLOOKUP(B75,Lists!$A$2:$B$25,2,FALSE)&amp;"-"&amp;D75&amp;"-"&amp;TEXT(E75,"000"))</f>
        <v/>
      </c>
      <c r="E75">
        <f>IF(B75="","",COUNTIFS($B$2:B75,B75,$D$2:D75,D75))</f>
        <v/>
      </c>
    </row>
    <row r="76">
      <c r="A76">
        <f>IF(B76="","",VLOOKUP(B76,Lists!$A$2:$B$25,2,FALSE)&amp;"-"&amp;D76&amp;"-"&amp;TEXT(E76,"000"))</f>
        <v/>
      </c>
      <c r="E76">
        <f>IF(B76="","",COUNTIFS($B$2:B76,B76,$D$2:D76,D76))</f>
        <v/>
      </c>
    </row>
    <row r="77">
      <c r="A77">
        <f>IF(B77="","",VLOOKUP(B77,Lists!$A$2:$B$25,2,FALSE)&amp;"-"&amp;D77&amp;"-"&amp;TEXT(E77,"000"))</f>
        <v/>
      </c>
      <c r="E77">
        <f>IF(B77="","",COUNTIFS($B$2:B77,B77,$D$2:D77,D77))</f>
        <v/>
      </c>
    </row>
    <row r="78">
      <c r="A78">
        <f>IF(B78="","",VLOOKUP(B78,Lists!$A$2:$B$25,2,FALSE)&amp;"-"&amp;D78&amp;"-"&amp;TEXT(E78,"000"))</f>
        <v/>
      </c>
      <c r="E78">
        <f>IF(B78="","",COUNTIFS($B$2:B78,B78,$D$2:D78,D78))</f>
        <v/>
      </c>
    </row>
    <row r="79">
      <c r="A79">
        <f>IF(B79="","",VLOOKUP(B79,Lists!$A$2:$B$25,2,FALSE)&amp;"-"&amp;D79&amp;"-"&amp;TEXT(E79,"000"))</f>
        <v/>
      </c>
      <c r="E79">
        <f>IF(B79="","",COUNTIFS($B$2:B79,B79,$D$2:D79,D79))</f>
        <v/>
      </c>
    </row>
    <row r="80">
      <c r="A80">
        <f>IF(B80="","",VLOOKUP(B80,Lists!$A$2:$B$25,2,FALSE)&amp;"-"&amp;D80&amp;"-"&amp;TEXT(E80,"000"))</f>
        <v/>
      </c>
      <c r="E80">
        <f>IF(B80="","",COUNTIFS($B$2:B80,B80,$D$2:D80,D80))</f>
        <v/>
      </c>
    </row>
    <row r="81">
      <c r="A81">
        <f>IF(B81="","",VLOOKUP(B81,Lists!$A$2:$B$25,2,FALSE)&amp;"-"&amp;D81&amp;"-"&amp;TEXT(E81,"000"))</f>
        <v/>
      </c>
      <c r="E81">
        <f>IF(B81="","",COUNTIFS($B$2:B81,B81,$D$2:D81,D81))</f>
        <v/>
      </c>
    </row>
    <row r="82">
      <c r="A82">
        <f>IF(B82="","",VLOOKUP(B82,Lists!$A$2:$B$25,2,FALSE)&amp;"-"&amp;D82&amp;"-"&amp;TEXT(E82,"000"))</f>
        <v/>
      </c>
      <c r="E82">
        <f>IF(B82="","",COUNTIFS($B$2:B82,B82,$D$2:D82,D82))</f>
        <v/>
      </c>
    </row>
    <row r="83">
      <c r="A83">
        <f>IF(B83="","",VLOOKUP(B83,Lists!$A$2:$B$25,2,FALSE)&amp;"-"&amp;D83&amp;"-"&amp;TEXT(E83,"000"))</f>
        <v/>
      </c>
      <c r="E83">
        <f>IF(B83="","",COUNTIFS($B$2:B83,B83,$D$2:D83,D83))</f>
        <v/>
      </c>
    </row>
    <row r="84">
      <c r="A84">
        <f>IF(B84="","",VLOOKUP(B84,Lists!$A$2:$B$25,2,FALSE)&amp;"-"&amp;D84&amp;"-"&amp;TEXT(E84,"000"))</f>
        <v/>
      </c>
      <c r="E84">
        <f>IF(B84="","",COUNTIFS($B$2:B84,B84,$D$2:D84,D84))</f>
        <v/>
      </c>
    </row>
    <row r="85">
      <c r="A85">
        <f>IF(B85="","",VLOOKUP(B85,Lists!$A$2:$B$25,2,FALSE)&amp;"-"&amp;D85&amp;"-"&amp;TEXT(E85,"000"))</f>
        <v/>
      </c>
      <c r="E85">
        <f>IF(B85="","",COUNTIFS($B$2:B85,B85,$D$2:D85,D85))</f>
        <v/>
      </c>
    </row>
    <row r="86">
      <c r="A86">
        <f>IF(B86="","",VLOOKUP(B86,Lists!$A$2:$B$25,2,FALSE)&amp;"-"&amp;D86&amp;"-"&amp;TEXT(E86,"000"))</f>
        <v/>
      </c>
      <c r="E86">
        <f>IF(B86="","",COUNTIFS($B$2:B86,B86,$D$2:D86,D86))</f>
        <v/>
      </c>
    </row>
    <row r="87">
      <c r="A87">
        <f>IF(B87="","",VLOOKUP(B87,Lists!$A$2:$B$25,2,FALSE)&amp;"-"&amp;D87&amp;"-"&amp;TEXT(E87,"000"))</f>
        <v/>
      </c>
      <c r="E87">
        <f>IF(B87="","",COUNTIFS($B$2:B87,B87,$D$2:D87,D87))</f>
        <v/>
      </c>
    </row>
    <row r="88">
      <c r="A88">
        <f>IF(B88="","",VLOOKUP(B88,Lists!$A$2:$B$25,2,FALSE)&amp;"-"&amp;D88&amp;"-"&amp;TEXT(E88,"000"))</f>
        <v/>
      </c>
      <c r="E88">
        <f>IF(B88="","",COUNTIFS($B$2:B88,B88,$D$2:D88,D88))</f>
        <v/>
      </c>
    </row>
    <row r="89">
      <c r="A89">
        <f>IF(B89="","",VLOOKUP(B89,Lists!$A$2:$B$25,2,FALSE)&amp;"-"&amp;D89&amp;"-"&amp;TEXT(E89,"000"))</f>
        <v/>
      </c>
      <c r="E89">
        <f>IF(B89="","",COUNTIFS($B$2:B89,B89,$D$2:D89,D89))</f>
        <v/>
      </c>
    </row>
    <row r="90">
      <c r="A90">
        <f>IF(B90="","",VLOOKUP(B90,Lists!$A$2:$B$25,2,FALSE)&amp;"-"&amp;D90&amp;"-"&amp;TEXT(E90,"000"))</f>
        <v/>
      </c>
      <c r="E90">
        <f>IF(B90="","",COUNTIFS($B$2:B90,B90,$D$2:D90,D90))</f>
        <v/>
      </c>
    </row>
    <row r="91">
      <c r="A91">
        <f>IF(B91="","",VLOOKUP(B91,Lists!$A$2:$B$25,2,FALSE)&amp;"-"&amp;D91&amp;"-"&amp;TEXT(E91,"000"))</f>
        <v/>
      </c>
      <c r="E91">
        <f>IF(B91="","",COUNTIFS($B$2:B91,B91,$D$2:D91,D91))</f>
        <v/>
      </c>
    </row>
    <row r="92">
      <c r="A92">
        <f>IF(B92="","",VLOOKUP(B92,Lists!$A$2:$B$25,2,FALSE)&amp;"-"&amp;D92&amp;"-"&amp;TEXT(E92,"000"))</f>
        <v/>
      </c>
      <c r="E92">
        <f>IF(B92="","",COUNTIFS($B$2:B92,B92,$D$2:D92,D92))</f>
        <v/>
      </c>
    </row>
    <row r="93">
      <c r="A93">
        <f>IF(B93="","",VLOOKUP(B93,Lists!$A$2:$B$25,2,FALSE)&amp;"-"&amp;D93&amp;"-"&amp;TEXT(E93,"000"))</f>
        <v/>
      </c>
      <c r="E93">
        <f>IF(B93="","",COUNTIFS($B$2:B93,B93,$D$2:D93,D93))</f>
        <v/>
      </c>
    </row>
    <row r="94">
      <c r="A94">
        <f>IF(B94="","",VLOOKUP(B94,Lists!$A$2:$B$25,2,FALSE)&amp;"-"&amp;D94&amp;"-"&amp;TEXT(E94,"000"))</f>
        <v/>
      </c>
      <c r="E94">
        <f>IF(B94="","",COUNTIFS($B$2:B94,B94,$D$2:D94,D94))</f>
        <v/>
      </c>
    </row>
    <row r="95">
      <c r="A95">
        <f>IF(B95="","",VLOOKUP(B95,Lists!$A$2:$B$25,2,FALSE)&amp;"-"&amp;D95&amp;"-"&amp;TEXT(E95,"000"))</f>
        <v/>
      </c>
      <c r="E95">
        <f>IF(B95="","",COUNTIFS($B$2:B95,B95,$D$2:D95,D95))</f>
        <v/>
      </c>
    </row>
    <row r="96">
      <c r="A96">
        <f>IF(B96="","",VLOOKUP(B96,Lists!$A$2:$B$25,2,FALSE)&amp;"-"&amp;D96&amp;"-"&amp;TEXT(E96,"000"))</f>
        <v/>
      </c>
      <c r="E96">
        <f>IF(B96="","",COUNTIFS($B$2:B96,B96,$D$2:D96,D96))</f>
        <v/>
      </c>
    </row>
    <row r="97">
      <c r="A97">
        <f>IF(B97="","",VLOOKUP(B97,Lists!$A$2:$B$25,2,FALSE)&amp;"-"&amp;D97&amp;"-"&amp;TEXT(E97,"000"))</f>
        <v/>
      </c>
      <c r="E97">
        <f>IF(B97="","",COUNTIFS($B$2:B97,B97,$D$2:D97,D97))</f>
        <v/>
      </c>
    </row>
    <row r="98">
      <c r="A98">
        <f>IF(B98="","",VLOOKUP(B98,Lists!$A$2:$B$25,2,FALSE)&amp;"-"&amp;D98&amp;"-"&amp;TEXT(E98,"000"))</f>
        <v/>
      </c>
      <c r="E98">
        <f>IF(B98="","",COUNTIFS($B$2:B98,B98,$D$2:D98,D98))</f>
        <v/>
      </c>
    </row>
    <row r="99">
      <c r="A99">
        <f>IF(B99="","",VLOOKUP(B99,Lists!$A$2:$B$25,2,FALSE)&amp;"-"&amp;D99&amp;"-"&amp;TEXT(E99,"000"))</f>
        <v/>
      </c>
      <c r="E99">
        <f>IF(B99="","",COUNTIFS($B$2:B99,B99,$D$2:D99,D99))</f>
        <v/>
      </c>
    </row>
    <row r="100">
      <c r="A100">
        <f>IF(B100="","",VLOOKUP(B100,Lists!$A$2:$B$25,2,FALSE)&amp;"-"&amp;D100&amp;"-"&amp;TEXT(E100,"000"))</f>
        <v/>
      </c>
      <c r="E100">
        <f>IF(B100="","",COUNTIFS($B$2:B100,B100,$D$2:D100,D100))</f>
        <v/>
      </c>
    </row>
    <row r="101">
      <c r="A101">
        <f>IF(B101="","",VLOOKUP(B101,Lists!$A$2:$B$25,2,FALSE)&amp;"-"&amp;D101&amp;"-"&amp;TEXT(E101,"000"))</f>
        <v/>
      </c>
      <c r="E101">
        <f>IF(B101="","",COUNTIFS($B$2:B101,B101,$D$2:D101,D101))</f>
        <v/>
      </c>
    </row>
    <row r="102">
      <c r="A102">
        <f>IF(B102="","",VLOOKUP(B102,Lists!$A$2:$B$25,2,FALSE)&amp;"-"&amp;D102&amp;"-"&amp;TEXT(E102,"000"))</f>
        <v/>
      </c>
      <c r="E102">
        <f>IF(B102="","",COUNTIFS($B$2:B102,B102,$D$2:D102,D102))</f>
        <v/>
      </c>
    </row>
    <row r="103">
      <c r="A103">
        <f>IF(B103="","",VLOOKUP(B103,Lists!$A$2:$B$25,2,FALSE)&amp;"-"&amp;D103&amp;"-"&amp;TEXT(E103,"000"))</f>
        <v/>
      </c>
      <c r="E103">
        <f>IF(B103="","",COUNTIFS($B$2:B103,B103,$D$2:D103,D103))</f>
        <v/>
      </c>
    </row>
    <row r="104">
      <c r="A104">
        <f>IF(B104="","",VLOOKUP(B104,Lists!$A$2:$B$25,2,FALSE)&amp;"-"&amp;D104&amp;"-"&amp;TEXT(E104,"000"))</f>
        <v/>
      </c>
      <c r="E104">
        <f>IF(B104="","",COUNTIFS($B$2:B104,B104,$D$2:D104,D104))</f>
        <v/>
      </c>
    </row>
    <row r="105">
      <c r="A105">
        <f>IF(B105="","",VLOOKUP(B105,Lists!$A$2:$B$25,2,FALSE)&amp;"-"&amp;D105&amp;"-"&amp;TEXT(E105,"000"))</f>
        <v/>
      </c>
      <c r="E105">
        <f>IF(B105="","",COUNTIFS($B$2:B105,B105,$D$2:D105,D105))</f>
        <v/>
      </c>
    </row>
    <row r="106">
      <c r="A106">
        <f>IF(B106="","",VLOOKUP(B106,Lists!$A$2:$B$25,2,FALSE)&amp;"-"&amp;D106&amp;"-"&amp;TEXT(E106,"000"))</f>
        <v/>
      </c>
      <c r="E106">
        <f>IF(B106="","",COUNTIFS($B$2:B106,B106,$D$2:D106,D106))</f>
        <v/>
      </c>
    </row>
    <row r="107">
      <c r="A107">
        <f>IF(B107="","",VLOOKUP(B107,Lists!$A$2:$B$25,2,FALSE)&amp;"-"&amp;D107&amp;"-"&amp;TEXT(E107,"000"))</f>
        <v/>
      </c>
      <c r="E107">
        <f>IF(B107="","",COUNTIFS($B$2:B107,B107,$D$2:D107,D107))</f>
        <v/>
      </c>
    </row>
    <row r="108">
      <c r="A108">
        <f>IF(B108="","",VLOOKUP(B108,Lists!$A$2:$B$25,2,FALSE)&amp;"-"&amp;D108&amp;"-"&amp;TEXT(E108,"000"))</f>
        <v/>
      </c>
      <c r="E108">
        <f>IF(B108="","",COUNTIFS($B$2:B108,B108,$D$2:D108,D108))</f>
        <v/>
      </c>
    </row>
    <row r="109">
      <c r="A109">
        <f>IF(B109="","",VLOOKUP(B109,Lists!$A$2:$B$25,2,FALSE)&amp;"-"&amp;D109&amp;"-"&amp;TEXT(E109,"000"))</f>
        <v/>
      </c>
      <c r="E109">
        <f>IF(B109="","",COUNTIFS($B$2:B109,B109,$D$2:D109,D109))</f>
        <v/>
      </c>
    </row>
    <row r="110">
      <c r="A110">
        <f>IF(B110="","",VLOOKUP(B110,Lists!$A$2:$B$25,2,FALSE)&amp;"-"&amp;D110&amp;"-"&amp;TEXT(E110,"000"))</f>
        <v/>
      </c>
      <c r="E110">
        <f>IF(B110="","",COUNTIFS($B$2:B110,B110,$D$2:D110,D110))</f>
        <v/>
      </c>
    </row>
    <row r="111">
      <c r="A111">
        <f>IF(B111="","",VLOOKUP(B111,Lists!$A$2:$B$25,2,FALSE)&amp;"-"&amp;D111&amp;"-"&amp;TEXT(E111,"000"))</f>
        <v/>
      </c>
      <c r="E111">
        <f>IF(B111="","",COUNTIFS($B$2:B111,B111,$D$2:D111,D111))</f>
        <v/>
      </c>
    </row>
    <row r="112">
      <c r="A112">
        <f>IF(B112="","",VLOOKUP(B112,Lists!$A$2:$B$25,2,FALSE)&amp;"-"&amp;D112&amp;"-"&amp;TEXT(E112,"000"))</f>
        <v/>
      </c>
      <c r="E112">
        <f>IF(B112="","",COUNTIFS($B$2:B112,B112,$D$2:D112,D112))</f>
        <v/>
      </c>
    </row>
    <row r="113">
      <c r="A113">
        <f>IF(B113="","",VLOOKUP(B113,Lists!$A$2:$B$25,2,FALSE)&amp;"-"&amp;D113&amp;"-"&amp;TEXT(E113,"000"))</f>
        <v/>
      </c>
      <c r="E113">
        <f>IF(B113="","",COUNTIFS($B$2:B113,B113,$D$2:D113,D113))</f>
        <v/>
      </c>
    </row>
    <row r="114">
      <c r="A114">
        <f>IF(B114="","",VLOOKUP(B114,Lists!$A$2:$B$25,2,FALSE)&amp;"-"&amp;D114&amp;"-"&amp;TEXT(E114,"000"))</f>
        <v/>
      </c>
      <c r="E114">
        <f>IF(B114="","",COUNTIFS($B$2:B114,B114,$D$2:D114,D114))</f>
        <v/>
      </c>
    </row>
    <row r="115">
      <c r="A115">
        <f>IF(B115="","",VLOOKUP(B115,Lists!$A$2:$B$25,2,FALSE)&amp;"-"&amp;D115&amp;"-"&amp;TEXT(E115,"000"))</f>
        <v/>
      </c>
      <c r="E115">
        <f>IF(B115="","",COUNTIFS($B$2:B115,B115,$D$2:D115,D115))</f>
        <v/>
      </c>
    </row>
    <row r="116">
      <c r="A116">
        <f>IF(B116="","",VLOOKUP(B116,Lists!$A$2:$B$25,2,FALSE)&amp;"-"&amp;D116&amp;"-"&amp;TEXT(E116,"000"))</f>
        <v/>
      </c>
      <c r="E116">
        <f>IF(B116="","",COUNTIFS($B$2:B116,B116,$D$2:D116,D116))</f>
        <v/>
      </c>
    </row>
    <row r="117">
      <c r="A117">
        <f>IF(B117="","",VLOOKUP(B117,Lists!$A$2:$B$25,2,FALSE)&amp;"-"&amp;D117&amp;"-"&amp;TEXT(E117,"000"))</f>
        <v/>
      </c>
      <c r="E117">
        <f>IF(B117="","",COUNTIFS($B$2:B117,B117,$D$2:D117,D117))</f>
        <v/>
      </c>
    </row>
    <row r="118">
      <c r="A118">
        <f>IF(B118="","",VLOOKUP(B118,Lists!$A$2:$B$25,2,FALSE)&amp;"-"&amp;D118&amp;"-"&amp;TEXT(E118,"000"))</f>
        <v/>
      </c>
      <c r="E118">
        <f>IF(B118="","",COUNTIFS($B$2:B118,B118,$D$2:D118,D118))</f>
        <v/>
      </c>
    </row>
    <row r="119">
      <c r="A119">
        <f>IF(B119="","",VLOOKUP(B119,Lists!$A$2:$B$25,2,FALSE)&amp;"-"&amp;D119&amp;"-"&amp;TEXT(E119,"000"))</f>
        <v/>
      </c>
      <c r="E119">
        <f>IF(B119="","",COUNTIFS($B$2:B119,B119,$D$2:D119,D119))</f>
        <v/>
      </c>
    </row>
    <row r="120">
      <c r="A120">
        <f>IF(B120="","",VLOOKUP(B120,Lists!$A$2:$B$25,2,FALSE)&amp;"-"&amp;D120&amp;"-"&amp;TEXT(E120,"000"))</f>
        <v/>
      </c>
      <c r="E120">
        <f>IF(B120="","",COUNTIFS($B$2:B120,B120,$D$2:D120,D120))</f>
        <v/>
      </c>
    </row>
    <row r="121">
      <c r="A121">
        <f>IF(B121="","",VLOOKUP(B121,Lists!$A$2:$B$25,2,FALSE)&amp;"-"&amp;D121&amp;"-"&amp;TEXT(E121,"000"))</f>
        <v/>
      </c>
      <c r="E121">
        <f>IF(B121="","",COUNTIFS($B$2:B121,B121,$D$2:D121,D121))</f>
        <v/>
      </c>
    </row>
    <row r="122">
      <c r="A122">
        <f>IF(B122="","",VLOOKUP(B122,Lists!$A$2:$B$25,2,FALSE)&amp;"-"&amp;D122&amp;"-"&amp;TEXT(E122,"000"))</f>
        <v/>
      </c>
      <c r="E122">
        <f>IF(B122="","",COUNTIFS($B$2:B122,B122,$D$2:D122,D122))</f>
        <v/>
      </c>
    </row>
    <row r="123">
      <c r="A123">
        <f>IF(B123="","",VLOOKUP(B123,Lists!$A$2:$B$25,2,FALSE)&amp;"-"&amp;D123&amp;"-"&amp;TEXT(E123,"000"))</f>
        <v/>
      </c>
      <c r="E123">
        <f>IF(B123="","",COUNTIFS($B$2:B123,B123,$D$2:D123,D123))</f>
        <v/>
      </c>
    </row>
    <row r="124">
      <c r="A124">
        <f>IF(B124="","",VLOOKUP(B124,Lists!$A$2:$B$25,2,FALSE)&amp;"-"&amp;D124&amp;"-"&amp;TEXT(E124,"000"))</f>
        <v/>
      </c>
      <c r="E124">
        <f>IF(B124="","",COUNTIFS($B$2:B124,B124,$D$2:D124,D124))</f>
        <v/>
      </c>
    </row>
    <row r="125">
      <c r="A125">
        <f>IF(B125="","",VLOOKUP(B125,Lists!$A$2:$B$25,2,FALSE)&amp;"-"&amp;D125&amp;"-"&amp;TEXT(E125,"000"))</f>
        <v/>
      </c>
      <c r="E125">
        <f>IF(B125="","",COUNTIFS($B$2:B125,B125,$D$2:D125,D125))</f>
        <v/>
      </c>
    </row>
    <row r="126">
      <c r="A126">
        <f>IF(B126="","",VLOOKUP(B126,Lists!$A$2:$B$25,2,FALSE)&amp;"-"&amp;D126&amp;"-"&amp;TEXT(E126,"000"))</f>
        <v/>
      </c>
      <c r="E126">
        <f>IF(B126="","",COUNTIFS($B$2:B126,B126,$D$2:D126,D126))</f>
        <v/>
      </c>
    </row>
    <row r="127">
      <c r="A127">
        <f>IF(B127="","",VLOOKUP(B127,Lists!$A$2:$B$25,2,FALSE)&amp;"-"&amp;D127&amp;"-"&amp;TEXT(E127,"000"))</f>
        <v/>
      </c>
      <c r="E127">
        <f>IF(B127="","",COUNTIFS($B$2:B127,B127,$D$2:D127,D127))</f>
        <v/>
      </c>
    </row>
    <row r="128">
      <c r="A128">
        <f>IF(B128="","",VLOOKUP(B128,Lists!$A$2:$B$25,2,FALSE)&amp;"-"&amp;D128&amp;"-"&amp;TEXT(E128,"000"))</f>
        <v/>
      </c>
      <c r="E128">
        <f>IF(B128="","",COUNTIFS($B$2:B128,B128,$D$2:D128,D128))</f>
        <v/>
      </c>
    </row>
    <row r="129">
      <c r="A129">
        <f>IF(B129="","",VLOOKUP(B129,Lists!$A$2:$B$25,2,FALSE)&amp;"-"&amp;D129&amp;"-"&amp;TEXT(E129,"000"))</f>
        <v/>
      </c>
      <c r="E129">
        <f>IF(B129="","",COUNTIFS($B$2:B129,B129,$D$2:D129,D129))</f>
        <v/>
      </c>
    </row>
    <row r="130">
      <c r="A130">
        <f>IF(B130="","",VLOOKUP(B130,Lists!$A$2:$B$25,2,FALSE)&amp;"-"&amp;D130&amp;"-"&amp;TEXT(E130,"000"))</f>
        <v/>
      </c>
      <c r="E130">
        <f>IF(B130="","",COUNTIFS($B$2:B130,B130,$D$2:D130,D130))</f>
        <v/>
      </c>
    </row>
    <row r="131">
      <c r="A131">
        <f>IF(B131="","",VLOOKUP(B131,Lists!$A$2:$B$25,2,FALSE)&amp;"-"&amp;D131&amp;"-"&amp;TEXT(E131,"000"))</f>
        <v/>
      </c>
      <c r="E131">
        <f>IF(B131="","",COUNTIFS($B$2:B131,B131,$D$2:D131,D131))</f>
        <v/>
      </c>
    </row>
    <row r="132">
      <c r="A132">
        <f>IF(B132="","",VLOOKUP(B132,Lists!$A$2:$B$25,2,FALSE)&amp;"-"&amp;D132&amp;"-"&amp;TEXT(E132,"000"))</f>
        <v/>
      </c>
      <c r="E132">
        <f>IF(B132="","",COUNTIFS($B$2:B132,B132,$D$2:D132,D132))</f>
        <v/>
      </c>
    </row>
    <row r="133">
      <c r="A133">
        <f>IF(B133="","",VLOOKUP(B133,Lists!$A$2:$B$25,2,FALSE)&amp;"-"&amp;D133&amp;"-"&amp;TEXT(E133,"000"))</f>
        <v/>
      </c>
      <c r="E133">
        <f>IF(B133="","",COUNTIFS($B$2:B133,B133,$D$2:D133,D133))</f>
        <v/>
      </c>
    </row>
    <row r="134">
      <c r="A134">
        <f>IF(B134="","",VLOOKUP(B134,Lists!$A$2:$B$25,2,FALSE)&amp;"-"&amp;D134&amp;"-"&amp;TEXT(E134,"000"))</f>
        <v/>
      </c>
      <c r="E134">
        <f>IF(B134="","",COUNTIFS($B$2:B134,B134,$D$2:D134,D134))</f>
        <v/>
      </c>
    </row>
    <row r="135">
      <c r="A135">
        <f>IF(B135="","",VLOOKUP(B135,Lists!$A$2:$B$25,2,FALSE)&amp;"-"&amp;D135&amp;"-"&amp;TEXT(E135,"000"))</f>
        <v/>
      </c>
      <c r="E135">
        <f>IF(B135="","",COUNTIFS($B$2:B135,B135,$D$2:D135,D135))</f>
        <v/>
      </c>
    </row>
    <row r="136">
      <c r="A136">
        <f>IF(B136="","",VLOOKUP(B136,Lists!$A$2:$B$25,2,FALSE)&amp;"-"&amp;D136&amp;"-"&amp;TEXT(E136,"000"))</f>
        <v/>
      </c>
      <c r="E136">
        <f>IF(B136="","",COUNTIFS($B$2:B136,B136,$D$2:D136,D136))</f>
        <v/>
      </c>
    </row>
    <row r="137">
      <c r="A137">
        <f>IF(B137="","",VLOOKUP(B137,Lists!$A$2:$B$25,2,FALSE)&amp;"-"&amp;D137&amp;"-"&amp;TEXT(E137,"000"))</f>
        <v/>
      </c>
      <c r="E137">
        <f>IF(B137="","",COUNTIFS($B$2:B137,B137,$D$2:D137,D137))</f>
        <v/>
      </c>
    </row>
    <row r="138">
      <c r="A138">
        <f>IF(B138="","",VLOOKUP(B138,Lists!$A$2:$B$25,2,FALSE)&amp;"-"&amp;D138&amp;"-"&amp;TEXT(E138,"000"))</f>
        <v/>
      </c>
      <c r="E138">
        <f>IF(B138="","",COUNTIFS($B$2:B138,B138,$D$2:D138,D138))</f>
        <v/>
      </c>
    </row>
    <row r="139">
      <c r="A139">
        <f>IF(B139="","",VLOOKUP(B139,Lists!$A$2:$B$25,2,FALSE)&amp;"-"&amp;D139&amp;"-"&amp;TEXT(E139,"000"))</f>
        <v/>
      </c>
      <c r="E139">
        <f>IF(B139="","",COUNTIFS($B$2:B139,B139,$D$2:D139,D139))</f>
        <v/>
      </c>
    </row>
    <row r="140">
      <c r="A140">
        <f>IF(B140="","",VLOOKUP(B140,Lists!$A$2:$B$25,2,FALSE)&amp;"-"&amp;D140&amp;"-"&amp;TEXT(E140,"000"))</f>
        <v/>
      </c>
      <c r="E140">
        <f>IF(B140="","",COUNTIFS($B$2:B140,B140,$D$2:D140,D140))</f>
        <v/>
      </c>
    </row>
    <row r="141">
      <c r="A141">
        <f>IF(B141="","",VLOOKUP(B141,Lists!$A$2:$B$25,2,FALSE)&amp;"-"&amp;D141&amp;"-"&amp;TEXT(E141,"000"))</f>
        <v/>
      </c>
      <c r="E141">
        <f>IF(B141="","",COUNTIFS($B$2:B141,B141,$D$2:D141,D141))</f>
        <v/>
      </c>
    </row>
    <row r="142">
      <c r="A142">
        <f>IF(B142="","",VLOOKUP(B142,Lists!$A$2:$B$25,2,FALSE)&amp;"-"&amp;D142&amp;"-"&amp;TEXT(E142,"000"))</f>
        <v/>
      </c>
      <c r="E142">
        <f>IF(B142="","",COUNTIFS($B$2:B142,B142,$D$2:D142,D142))</f>
        <v/>
      </c>
    </row>
    <row r="143">
      <c r="A143">
        <f>IF(B143="","",VLOOKUP(B143,Lists!$A$2:$B$25,2,FALSE)&amp;"-"&amp;D143&amp;"-"&amp;TEXT(E143,"000"))</f>
        <v/>
      </c>
      <c r="E143">
        <f>IF(B143="","",COUNTIFS($B$2:B143,B143,$D$2:D143,D143))</f>
        <v/>
      </c>
    </row>
    <row r="144">
      <c r="A144">
        <f>IF(B144="","",VLOOKUP(B144,Lists!$A$2:$B$25,2,FALSE)&amp;"-"&amp;D144&amp;"-"&amp;TEXT(E144,"000"))</f>
        <v/>
      </c>
      <c r="E144">
        <f>IF(B144="","",COUNTIFS($B$2:B144,B144,$D$2:D144,D144))</f>
        <v/>
      </c>
    </row>
    <row r="145">
      <c r="A145">
        <f>IF(B145="","",VLOOKUP(B145,Lists!$A$2:$B$25,2,FALSE)&amp;"-"&amp;D145&amp;"-"&amp;TEXT(E145,"000"))</f>
        <v/>
      </c>
      <c r="E145">
        <f>IF(B145="","",COUNTIFS($B$2:B145,B145,$D$2:D145,D145))</f>
        <v/>
      </c>
    </row>
    <row r="146">
      <c r="A146">
        <f>IF(B146="","",VLOOKUP(B146,Lists!$A$2:$B$25,2,FALSE)&amp;"-"&amp;D146&amp;"-"&amp;TEXT(E146,"000"))</f>
        <v/>
      </c>
      <c r="E146">
        <f>IF(B146="","",COUNTIFS($B$2:B146,B146,$D$2:D146,D146))</f>
        <v/>
      </c>
    </row>
    <row r="147">
      <c r="A147">
        <f>IF(B147="","",VLOOKUP(B147,Lists!$A$2:$B$25,2,FALSE)&amp;"-"&amp;D147&amp;"-"&amp;TEXT(E147,"000"))</f>
        <v/>
      </c>
      <c r="E147">
        <f>IF(B147="","",COUNTIFS($B$2:B147,B147,$D$2:D147,D147))</f>
        <v/>
      </c>
    </row>
    <row r="148">
      <c r="A148">
        <f>IF(B148="","",VLOOKUP(B148,Lists!$A$2:$B$25,2,FALSE)&amp;"-"&amp;D148&amp;"-"&amp;TEXT(E148,"000"))</f>
        <v/>
      </c>
      <c r="E148">
        <f>IF(B148="","",COUNTIFS($B$2:B148,B148,$D$2:D148,D148))</f>
        <v/>
      </c>
    </row>
    <row r="149">
      <c r="A149">
        <f>IF(B149="","",VLOOKUP(B149,Lists!$A$2:$B$25,2,FALSE)&amp;"-"&amp;D149&amp;"-"&amp;TEXT(E149,"000"))</f>
        <v/>
      </c>
      <c r="E149">
        <f>IF(B149="","",COUNTIFS($B$2:B149,B149,$D$2:D149,D149))</f>
        <v/>
      </c>
    </row>
    <row r="150">
      <c r="A150">
        <f>IF(B150="","",VLOOKUP(B150,Lists!$A$2:$B$25,2,FALSE)&amp;"-"&amp;D150&amp;"-"&amp;TEXT(E150,"000"))</f>
        <v/>
      </c>
      <c r="E150">
        <f>IF(B150="","",COUNTIFS($B$2:B150,B150,$D$2:D150,D150))</f>
        <v/>
      </c>
    </row>
    <row r="151">
      <c r="A151">
        <f>IF(B151="","",VLOOKUP(B151,Lists!$A$2:$B$25,2,FALSE)&amp;"-"&amp;D151&amp;"-"&amp;TEXT(E151,"000"))</f>
        <v/>
      </c>
      <c r="E151">
        <f>IF(B151="","",COUNTIFS($B$2:B151,B151,$D$2:D151,D151))</f>
        <v/>
      </c>
    </row>
    <row r="152">
      <c r="A152">
        <f>IF(B152="","",VLOOKUP(B152,Lists!$A$2:$B$25,2,FALSE)&amp;"-"&amp;D152&amp;"-"&amp;TEXT(E152,"000"))</f>
        <v/>
      </c>
      <c r="E152">
        <f>IF(B152="","",COUNTIFS($B$2:B152,B152,$D$2:D152,D152))</f>
        <v/>
      </c>
    </row>
    <row r="153">
      <c r="A153">
        <f>IF(B153="","",VLOOKUP(B153,Lists!$A$2:$B$25,2,FALSE)&amp;"-"&amp;D153&amp;"-"&amp;TEXT(E153,"000"))</f>
        <v/>
      </c>
      <c r="E153">
        <f>IF(B153="","",COUNTIFS($B$2:B153,B153,$D$2:D153,D153))</f>
        <v/>
      </c>
    </row>
    <row r="154">
      <c r="A154">
        <f>IF(B154="","",VLOOKUP(B154,Lists!$A$2:$B$25,2,FALSE)&amp;"-"&amp;D154&amp;"-"&amp;TEXT(E154,"000"))</f>
        <v/>
      </c>
      <c r="E154">
        <f>IF(B154="","",COUNTIFS($B$2:B154,B154,$D$2:D154,D154))</f>
        <v/>
      </c>
    </row>
    <row r="155">
      <c r="A155">
        <f>IF(B155="","",VLOOKUP(B155,Lists!$A$2:$B$25,2,FALSE)&amp;"-"&amp;D155&amp;"-"&amp;TEXT(E155,"000"))</f>
        <v/>
      </c>
      <c r="E155">
        <f>IF(B155="","",COUNTIFS($B$2:B155,B155,$D$2:D155,D155))</f>
        <v/>
      </c>
    </row>
    <row r="156">
      <c r="A156">
        <f>IF(B156="","",VLOOKUP(B156,Lists!$A$2:$B$25,2,FALSE)&amp;"-"&amp;D156&amp;"-"&amp;TEXT(E156,"000"))</f>
        <v/>
      </c>
      <c r="E156">
        <f>IF(B156="","",COUNTIFS($B$2:B156,B156,$D$2:D156,D156))</f>
        <v/>
      </c>
    </row>
    <row r="157">
      <c r="A157">
        <f>IF(B157="","",VLOOKUP(B157,Lists!$A$2:$B$25,2,FALSE)&amp;"-"&amp;D157&amp;"-"&amp;TEXT(E157,"000"))</f>
        <v/>
      </c>
      <c r="E157">
        <f>IF(B157="","",COUNTIFS($B$2:B157,B157,$D$2:D157,D157))</f>
        <v/>
      </c>
    </row>
    <row r="158">
      <c r="A158">
        <f>IF(B158="","",VLOOKUP(B158,Lists!$A$2:$B$25,2,FALSE)&amp;"-"&amp;D158&amp;"-"&amp;TEXT(E158,"000"))</f>
        <v/>
      </c>
      <c r="E158">
        <f>IF(B158="","",COUNTIFS($B$2:B158,B158,$D$2:D158,D158))</f>
        <v/>
      </c>
    </row>
    <row r="159">
      <c r="A159">
        <f>IF(B159="","",VLOOKUP(B159,Lists!$A$2:$B$25,2,FALSE)&amp;"-"&amp;D159&amp;"-"&amp;TEXT(E159,"000"))</f>
        <v/>
      </c>
      <c r="E159">
        <f>IF(B159="","",COUNTIFS($B$2:B159,B159,$D$2:D159,D159))</f>
        <v/>
      </c>
    </row>
    <row r="160">
      <c r="A160">
        <f>IF(B160="","",VLOOKUP(B160,Lists!$A$2:$B$25,2,FALSE)&amp;"-"&amp;D160&amp;"-"&amp;TEXT(E160,"000"))</f>
        <v/>
      </c>
      <c r="E160">
        <f>IF(B160="","",COUNTIFS($B$2:B160,B160,$D$2:D160,D160))</f>
        <v/>
      </c>
    </row>
    <row r="161">
      <c r="A161">
        <f>IF(B161="","",VLOOKUP(B161,Lists!$A$2:$B$25,2,FALSE)&amp;"-"&amp;D161&amp;"-"&amp;TEXT(E161,"000"))</f>
        <v/>
      </c>
      <c r="E161">
        <f>IF(B161="","",COUNTIFS($B$2:B161,B161,$D$2:D161,D161))</f>
        <v/>
      </c>
    </row>
    <row r="162">
      <c r="A162">
        <f>IF(B162="","",VLOOKUP(B162,Lists!$A$2:$B$25,2,FALSE)&amp;"-"&amp;D162&amp;"-"&amp;TEXT(E162,"000"))</f>
        <v/>
      </c>
      <c r="E162">
        <f>IF(B162="","",COUNTIFS($B$2:B162,B162,$D$2:D162,D162))</f>
        <v/>
      </c>
    </row>
    <row r="163">
      <c r="A163">
        <f>IF(B163="","",VLOOKUP(B163,Lists!$A$2:$B$25,2,FALSE)&amp;"-"&amp;D163&amp;"-"&amp;TEXT(E163,"000"))</f>
        <v/>
      </c>
      <c r="E163">
        <f>IF(B163="","",COUNTIFS($B$2:B163,B163,$D$2:D163,D163))</f>
        <v/>
      </c>
    </row>
    <row r="164">
      <c r="A164">
        <f>IF(B164="","",VLOOKUP(B164,Lists!$A$2:$B$25,2,FALSE)&amp;"-"&amp;D164&amp;"-"&amp;TEXT(E164,"000"))</f>
        <v/>
      </c>
      <c r="E164">
        <f>IF(B164="","",COUNTIFS($B$2:B164,B164,$D$2:D164,D164))</f>
        <v/>
      </c>
    </row>
    <row r="165">
      <c r="A165">
        <f>IF(B165="","",VLOOKUP(B165,Lists!$A$2:$B$25,2,FALSE)&amp;"-"&amp;D165&amp;"-"&amp;TEXT(E165,"000"))</f>
        <v/>
      </c>
      <c r="E165">
        <f>IF(B165="","",COUNTIFS($B$2:B165,B165,$D$2:D165,D165))</f>
        <v/>
      </c>
    </row>
    <row r="166">
      <c r="A166">
        <f>IF(B166="","",VLOOKUP(B166,Lists!$A$2:$B$25,2,FALSE)&amp;"-"&amp;D166&amp;"-"&amp;TEXT(E166,"000"))</f>
        <v/>
      </c>
      <c r="E166">
        <f>IF(B166="","",COUNTIFS($B$2:B166,B166,$D$2:D166,D166))</f>
        <v/>
      </c>
    </row>
    <row r="167">
      <c r="A167">
        <f>IF(B167="","",VLOOKUP(B167,Lists!$A$2:$B$25,2,FALSE)&amp;"-"&amp;D167&amp;"-"&amp;TEXT(E167,"000"))</f>
        <v/>
      </c>
      <c r="E167">
        <f>IF(B167="","",COUNTIFS($B$2:B167,B167,$D$2:D167,D167))</f>
        <v/>
      </c>
    </row>
    <row r="168">
      <c r="A168">
        <f>IF(B168="","",VLOOKUP(B168,Lists!$A$2:$B$25,2,FALSE)&amp;"-"&amp;D168&amp;"-"&amp;TEXT(E168,"000"))</f>
        <v/>
      </c>
      <c r="E168">
        <f>IF(B168="","",COUNTIFS($B$2:B168,B168,$D$2:D168,D168))</f>
        <v/>
      </c>
    </row>
    <row r="169">
      <c r="A169">
        <f>IF(B169="","",VLOOKUP(B169,Lists!$A$2:$B$25,2,FALSE)&amp;"-"&amp;D169&amp;"-"&amp;TEXT(E169,"000"))</f>
        <v/>
      </c>
      <c r="E169">
        <f>IF(B169="","",COUNTIFS($B$2:B169,B169,$D$2:D169,D169))</f>
        <v/>
      </c>
    </row>
    <row r="170">
      <c r="A170">
        <f>IF(B170="","",VLOOKUP(B170,Lists!$A$2:$B$25,2,FALSE)&amp;"-"&amp;D170&amp;"-"&amp;TEXT(E170,"000"))</f>
        <v/>
      </c>
      <c r="E170">
        <f>IF(B170="","",COUNTIFS($B$2:B170,B170,$D$2:D170,D170))</f>
        <v/>
      </c>
    </row>
    <row r="171">
      <c r="A171">
        <f>IF(B171="","",VLOOKUP(B171,Lists!$A$2:$B$25,2,FALSE)&amp;"-"&amp;D171&amp;"-"&amp;TEXT(E171,"000"))</f>
        <v/>
      </c>
      <c r="E171">
        <f>IF(B171="","",COUNTIFS($B$2:B171,B171,$D$2:D171,D171))</f>
        <v/>
      </c>
    </row>
    <row r="172">
      <c r="A172">
        <f>IF(B172="","",VLOOKUP(B172,Lists!$A$2:$B$25,2,FALSE)&amp;"-"&amp;D172&amp;"-"&amp;TEXT(E172,"000"))</f>
        <v/>
      </c>
      <c r="E172">
        <f>IF(B172="","",COUNTIFS($B$2:B172,B172,$D$2:D172,D172))</f>
        <v/>
      </c>
    </row>
    <row r="173">
      <c r="A173">
        <f>IF(B173="","",VLOOKUP(B173,Lists!$A$2:$B$25,2,FALSE)&amp;"-"&amp;D173&amp;"-"&amp;TEXT(E173,"000"))</f>
        <v/>
      </c>
      <c r="E173">
        <f>IF(B173="","",COUNTIFS($B$2:B173,B173,$D$2:D173,D173))</f>
        <v/>
      </c>
    </row>
    <row r="174">
      <c r="A174">
        <f>IF(B174="","",VLOOKUP(B174,Lists!$A$2:$B$25,2,FALSE)&amp;"-"&amp;D174&amp;"-"&amp;TEXT(E174,"000"))</f>
        <v/>
      </c>
      <c r="E174">
        <f>IF(B174="","",COUNTIFS($B$2:B174,B174,$D$2:D174,D174))</f>
        <v/>
      </c>
    </row>
    <row r="175">
      <c r="A175">
        <f>IF(B175="","",VLOOKUP(B175,Lists!$A$2:$B$25,2,FALSE)&amp;"-"&amp;D175&amp;"-"&amp;TEXT(E175,"000"))</f>
        <v/>
      </c>
      <c r="E175">
        <f>IF(B175="","",COUNTIFS($B$2:B175,B175,$D$2:D175,D175))</f>
        <v/>
      </c>
    </row>
    <row r="176">
      <c r="A176">
        <f>IF(B176="","",VLOOKUP(B176,Lists!$A$2:$B$25,2,FALSE)&amp;"-"&amp;D176&amp;"-"&amp;TEXT(E176,"000"))</f>
        <v/>
      </c>
      <c r="E176">
        <f>IF(B176="","",COUNTIFS($B$2:B176,B176,$D$2:D176,D176))</f>
        <v/>
      </c>
    </row>
    <row r="177">
      <c r="A177">
        <f>IF(B177="","",VLOOKUP(B177,Lists!$A$2:$B$25,2,FALSE)&amp;"-"&amp;D177&amp;"-"&amp;TEXT(E177,"000"))</f>
        <v/>
      </c>
      <c r="E177">
        <f>IF(B177="","",COUNTIFS($B$2:B177,B177,$D$2:D177,D177))</f>
        <v/>
      </c>
    </row>
    <row r="178">
      <c r="A178">
        <f>IF(B178="","",VLOOKUP(B178,Lists!$A$2:$B$25,2,FALSE)&amp;"-"&amp;D178&amp;"-"&amp;TEXT(E178,"000"))</f>
        <v/>
      </c>
      <c r="E178">
        <f>IF(B178="","",COUNTIFS($B$2:B178,B178,$D$2:D178,D178))</f>
        <v/>
      </c>
    </row>
    <row r="179">
      <c r="A179">
        <f>IF(B179="","",VLOOKUP(B179,Lists!$A$2:$B$25,2,FALSE)&amp;"-"&amp;D179&amp;"-"&amp;TEXT(E179,"000"))</f>
        <v/>
      </c>
      <c r="E179">
        <f>IF(B179="","",COUNTIFS($B$2:B179,B179,$D$2:D179,D179))</f>
        <v/>
      </c>
    </row>
    <row r="180">
      <c r="A180">
        <f>IF(B180="","",VLOOKUP(B180,Lists!$A$2:$B$25,2,FALSE)&amp;"-"&amp;D180&amp;"-"&amp;TEXT(E180,"000"))</f>
        <v/>
      </c>
      <c r="E180">
        <f>IF(B180="","",COUNTIFS($B$2:B180,B180,$D$2:D180,D180))</f>
        <v/>
      </c>
    </row>
    <row r="181">
      <c r="A181">
        <f>IF(B181="","",VLOOKUP(B181,Lists!$A$2:$B$25,2,FALSE)&amp;"-"&amp;D181&amp;"-"&amp;TEXT(E181,"000"))</f>
        <v/>
      </c>
      <c r="E181">
        <f>IF(B181="","",COUNTIFS($B$2:B181,B181,$D$2:D181,D181))</f>
        <v/>
      </c>
    </row>
    <row r="182">
      <c r="A182">
        <f>IF(B182="","",VLOOKUP(B182,Lists!$A$2:$B$25,2,FALSE)&amp;"-"&amp;D182&amp;"-"&amp;TEXT(E182,"000"))</f>
        <v/>
      </c>
      <c r="E182">
        <f>IF(B182="","",COUNTIFS($B$2:B182,B182,$D$2:D182,D182))</f>
        <v/>
      </c>
    </row>
    <row r="183">
      <c r="A183">
        <f>IF(B183="","",VLOOKUP(B183,Lists!$A$2:$B$25,2,FALSE)&amp;"-"&amp;D183&amp;"-"&amp;TEXT(E183,"000"))</f>
        <v/>
      </c>
      <c r="E183">
        <f>IF(B183="","",COUNTIFS($B$2:B183,B183,$D$2:D183,D183))</f>
        <v/>
      </c>
    </row>
    <row r="184">
      <c r="A184">
        <f>IF(B184="","",VLOOKUP(B184,Lists!$A$2:$B$25,2,FALSE)&amp;"-"&amp;D184&amp;"-"&amp;TEXT(E184,"000"))</f>
        <v/>
      </c>
      <c r="E184">
        <f>IF(B184="","",COUNTIFS($B$2:B184,B184,$D$2:D184,D184))</f>
        <v/>
      </c>
    </row>
    <row r="185">
      <c r="A185">
        <f>IF(B185="","",VLOOKUP(B185,Lists!$A$2:$B$25,2,FALSE)&amp;"-"&amp;D185&amp;"-"&amp;TEXT(E185,"000"))</f>
        <v/>
      </c>
      <c r="E185">
        <f>IF(B185="","",COUNTIFS($B$2:B185,B185,$D$2:D185,D185))</f>
        <v/>
      </c>
    </row>
    <row r="186">
      <c r="A186">
        <f>IF(B186="","",VLOOKUP(B186,Lists!$A$2:$B$25,2,FALSE)&amp;"-"&amp;D186&amp;"-"&amp;TEXT(E186,"000"))</f>
        <v/>
      </c>
      <c r="E186">
        <f>IF(B186="","",COUNTIFS($B$2:B186,B186,$D$2:D186,D186))</f>
        <v/>
      </c>
    </row>
    <row r="187">
      <c r="A187">
        <f>IF(B187="","",VLOOKUP(B187,Lists!$A$2:$B$25,2,FALSE)&amp;"-"&amp;D187&amp;"-"&amp;TEXT(E187,"000"))</f>
        <v/>
      </c>
      <c r="E187">
        <f>IF(B187="","",COUNTIFS($B$2:B187,B187,$D$2:D187,D187))</f>
        <v/>
      </c>
    </row>
    <row r="188">
      <c r="A188">
        <f>IF(B188="","",VLOOKUP(B188,Lists!$A$2:$B$25,2,FALSE)&amp;"-"&amp;D188&amp;"-"&amp;TEXT(E188,"000"))</f>
        <v/>
      </c>
      <c r="E188">
        <f>IF(B188="","",COUNTIFS($B$2:B188,B188,$D$2:D188,D188))</f>
        <v/>
      </c>
    </row>
    <row r="189">
      <c r="A189">
        <f>IF(B189="","",VLOOKUP(B189,Lists!$A$2:$B$25,2,FALSE)&amp;"-"&amp;D189&amp;"-"&amp;TEXT(E189,"000"))</f>
        <v/>
      </c>
      <c r="E189">
        <f>IF(B189="","",COUNTIFS($B$2:B189,B189,$D$2:D189,D189))</f>
        <v/>
      </c>
    </row>
    <row r="190">
      <c r="A190">
        <f>IF(B190="","",VLOOKUP(B190,Lists!$A$2:$B$25,2,FALSE)&amp;"-"&amp;D190&amp;"-"&amp;TEXT(E190,"000"))</f>
        <v/>
      </c>
      <c r="E190">
        <f>IF(B190="","",COUNTIFS($B$2:B190,B190,$D$2:D190,D190))</f>
        <v/>
      </c>
    </row>
    <row r="191">
      <c r="A191">
        <f>IF(B191="","",VLOOKUP(B191,Lists!$A$2:$B$25,2,FALSE)&amp;"-"&amp;D191&amp;"-"&amp;TEXT(E191,"000"))</f>
        <v/>
      </c>
      <c r="E191">
        <f>IF(B191="","",COUNTIFS($B$2:B191,B191,$D$2:D191,D191))</f>
        <v/>
      </c>
    </row>
    <row r="192">
      <c r="A192">
        <f>IF(B192="","",VLOOKUP(B192,Lists!$A$2:$B$25,2,FALSE)&amp;"-"&amp;D192&amp;"-"&amp;TEXT(E192,"000"))</f>
        <v/>
      </c>
      <c r="E192">
        <f>IF(B192="","",COUNTIFS($B$2:B192,B192,$D$2:D192,D192))</f>
        <v/>
      </c>
    </row>
    <row r="193">
      <c r="A193">
        <f>IF(B193="","",VLOOKUP(B193,Lists!$A$2:$B$25,2,FALSE)&amp;"-"&amp;D193&amp;"-"&amp;TEXT(E193,"000"))</f>
        <v/>
      </c>
      <c r="E193">
        <f>IF(B193="","",COUNTIFS($B$2:B193,B193,$D$2:D193,D193))</f>
        <v/>
      </c>
    </row>
    <row r="194">
      <c r="A194">
        <f>IF(B194="","",VLOOKUP(B194,Lists!$A$2:$B$25,2,FALSE)&amp;"-"&amp;D194&amp;"-"&amp;TEXT(E194,"000"))</f>
        <v/>
      </c>
      <c r="E194">
        <f>IF(B194="","",COUNTIFS($B$2:B194,B194,$D$2:D194,D194))</f>
        <v/>
      </c>
    </row>
    <row r="195">
      <c r="A195">
        <f>IF(B195="","",VLOOKUP(B195,Lists!$A$2:$B$25,2,FALSE)&amp;"-"&amp;D195&amp;"-"&amp;TEXT(E195,"000"))</f>
        <v/>
      </c>
      <c r="E195">
        <f>IF(B195="","",COUNTIFS($B$2:B195,B195,$D$2:D195,D195))</f>
        <v/>
      </c>
    </row>
    <row r="196">
      <c r="A196">
        <f>IF(B196="","",VLOOKUP(B196,Lists!$A$2:$B$25,2,FALSE)&amp;"-"&amp;D196&amp;"-"&amp;TEXT(E196,"000"))</f>
        <v/>
      </c>
      <c r="E196">
        <f>IF(B196="","",COUNTIFS($B$2:B196,B196,$D$2:D196,D196))</f>
        <v/>
      </c>
    </row>
    <row r="197">
      <c r="A197">
        <f>IF(B197="","",VLOOKUP(B197,Lists!$A$2:$B$25,2,FALSE)&amp;"-"&amp;D197&amp;"-"&amp;TEXT(E197,"000"))</f>
        <v/>
      </c>
      <c r="E197">
        <f>IF(B197="","",COUNTIFS($B$2:B197,B197,$D$2:D197,D197))</f>
        <v/>
      </c>
    </row>
    <row r="198">
      <c r="A198">
        <f>IF(B198="","",VLOOKUP(B198,Lists!$A$2:$B$25,2,FALSE)&amp;"-"&amp;D198&amp;"-"&amp;TEXT(E198,"000"))</f>
        <v/>
      </c>
      <c r="E198">
        <f>IF(B198="","",COUNTIFS($B$2:B198,B198,$D$2:D198,D198))</f>
        <v/>
      </c>
    </row>
    <row r="199">
      <c r="A199">
        <f>IF(B199="","",VLOOKUP(B199,Lists!$A$2:$B$25,2,FALSE)&amp;"-"&amp;D199&amp;"-"&amp;TEXT(E199,"000"))</f>
        <v/>
      </c>
      <c r="E199">
        <f>IF(B199="","",COUNTIFS($B$2:B199,B199,$D$2:D199,D199))</f>
        <v/>
      </c>
    </row>
    <row r="200">
      <c r="A200">
        <f>IF(B200="","",VLOOKUP(B200,Lists!$A$2:$B$25,2,FALSE)&amp;"-"&amp;D200&amp;"-"&amp;TEXT(E200,"000"))</f>
        <v/>
      </c>
      <c r="E200">
        <f>IF(B200="","",COUNTIFS($B$2:B200,B200,$D$2:D200,D200))</f>
        <v/>
      </c>
    </row>
    <row r="201">
      <c r="A201">
        <f>IF(B201="","",VLOOKUP(B201,Lists!$A$2:$B$25,2,FALSE)&amp;"-"&amp;D201&amp;"-"&amp;TEXT(E201,"000"))</f>
        <v/>
      </c>
      <c r="E201">
        <f>IF(B201="","",COUNTIFS($B$2:B201,B201,$D$2:D201,D201))</f>
        <v/>
      </c>
    </row>
    <row r="202">
      <c r="A202">
        <f>IF(B202="","",VLOOKUP(B202,Lists!$A$2:$B$25,2,FALSE)&amp;"-"&amp;D202&amp;"-"&amp;TEXT(E202,"000"))</f>
        <v/>
      </c>
      <c r="E202">
        <f>IF(B202="","",COUNTIFS($B$2:B202,B202,$D$2:D202,D202))</f>
        <v/>
      </c>
    </row>
    <row r="203">
      <c r="A203">
        <f>IF(B203="","",VLOOKUP(B203,Lists!$A$2:$B$25,2,FALSE)&amp;"-"&amp;D203&amp;"-"&amp;TEXT(E203,"000"))</f>
        <v/>
      </c>
      <c r="E203">
        <f>IF(B203="","",COUNTIFS($B$2:B203,B203,$D$2:D203,D203))</f>
        <v/>
      </c>
    </row>
    <row r="204">
      <c r="A204">
        <f>IF(B204="","",VLOOKUP(B204,Lists!$A$2:$B$25,2,FALSE)&amp;"-"&amp;D204&amp;"-"&amp;TEXT(E204,"000"))</f>
        <v/>
      </c>
      <c r="E204">
        <f>IF(B204="","",COUNTIFS($B$2:B204,B204,$D$2:D204,D204))</f>
        <v/>
      </c>
    </row>
    <row r="205">
      <c r="A205">
        <f>IF(B205="","",VLOOKUP(B205,Lists!$A$2:$B$25,2,FALSE)&amp;"-"&amp;D205&amp;"-"&amp;TEXT(E205,"000"))</f>
        <v/>
      </c>
      <c r="E205">
        <f>IF(B205="","",COUNTIFS($B$2:B205,B205,$D$2:D205,D205))</f>
        <v/>
      </c>
    </row>
    <row r="206">
      <c r="A206">
        <f>IF(B206="","",VLOOKUP(B206,Lists!$A$2:$B$25,2,FALSE)&amp;"-"&amp;D206&amp;"-"&amp;TEXT(E206,"000"))</f>
        <v/>
      </c>
      <c r="E206">
        <f>IF(B206="","",COUNTIFS($B$2:B206,B206,$D$2:D206,D206))</f>
        <v/>
      </c>
    </row>
    <row r="207">
      <c r="A207">
        <f>IF(B207="","",VLOOKUP(B207,Lists!$A$2:$B$25,2,FALSE)&amp;"-"&amp;D207&amp;"-"&amp;TEXT(E207,"000"))</f>
        <v/>
      </c>
      <c r="E207">
        <f>IF(B207="","",COUNTIFS($B$2:B207,B207,$D$2:D207,D207))</f>
        <v/>
      </c>
    </row>
    <row r="208">
      <c r="A208">
        <f>IF(B208="","",VLOOKUP(B208,Lists!$A$2:$B$25,2,FALSE)&amp;"-"&amp;D208&amp;"-"&amp;TEXT(E208,"000"))</f>
        <v/>
      </c>
      <c r="E208">
        <f>IF(B208="","",COUNTIFS($B$2:B208,B208,$D$2:D208,D208))</f>
        <v/>
      </c>
    </row>
    <row r="209">
      <c r="A209">
        <f>IF(B209="","",VLOOKUP(B209,Lists!$A$2:$B$25,2,FALSE)&amp;"-"&amp;D209&amp;"-"&amp;TEXT(E209,"000"))</f>
        <v/>
      </c>
      <c r="E209">
        <f>IF(B209="","",COUNTIFS($B$2:B209,B209,$D$2:D209,D209))</f>
        <v/>
      </c>
    </row>
    <row r="210">
      <c r="A210">
        <f>IF(B210="","",VLOOKUP(B210,Lists!$A$2:$B$25,2,FALSE)&amp;"-"&amp;D210&amp;"-"&amp;TEXT(E210,"000"))</f>
        <v/>
      </c>
      <c r="E210">
        <f>IF(B210="","",COUNTIFS($B$2:B210,B210,$D$2:D210,D210))</f>
        <v/>
      </c>
    </row>
    <row r="211">
      <c r="A211">
        <f>IF(B211="","",VLOOKUP(B211,Lists!$A$2:$B$25,2,FALSE)&amp;"-"&amp;D211&amp;"-"&amp;TEXT(E211,"000"))</f>
        <v/>
      </c>
      <c r="E211">
        <f>IF(B211="","",COUNTIFS($B$2:B211,B211,$D$2:D211,D211))</f>
        <v/>
      </c>
    </row>
    <row r="212">
      <c r="A212">
        <f>IF(B212="","",VLOOKUP(B212,Lists!$A$2:$B$25,2,FALSE)&amp;"-"&amp;D212&amp;"-"&amp;TEXT(E212,"000"))</f>
        <v/>
      </c>
      <c r="E212">
        <f>IF(B212="","",COUNTIFS($B$2:B212,B212,$D$2:D212,D212))</f>
        <v/>
      </c>
    </row>
    <row r="213">
      <c r="A213">
        <f>IF(B213="","",VLOOKUP(B213,Lists!$A$2:$B$25,2,FALSE)&amp;"-"&amp;D213&amp;"-"&amp;TEXT(E213,"000"))</f>
        <v/>
      </c>
      <c r="E213">
        <f>IF(B213="","",COUNTIFS($B$2:B213,B213,$D$2:D213,D213))</f>
        <v/>
      </c>
    </row>
    <row r="214">
      <c r="A214">
        <f>IF(B214="","",VLOOKUP(B214,Lists!$A$2:$B$25,2,FALSE)&amp;"-"&amp;D214&amp;"-"&amp;TEXT(E214,"000"))</f>
        <v/>
      </c>
      <c r="E214">
        <f>IF(B214="","",COUNTIFS($B$2:B214,B214,$D$2:D214,D214))</f>
        <v/>
      </c>
    </row>
    <row r="215">
      <c r="A215">
        <f>IF(B215="","",VLOOKUP(B215,Lists!$A$2:$B$25,2,FALSE)&amp;"-"&amp;D215&amp;"-"&amp;TEXT(E215,"000"))</f>
        <v/>
      </c>
      <c r="E215">
        <f>IF(B215="","",COUNTIFS($B$2:B215,B215,$D$2:D215,D215))</f>
        <v/>
      </c>
    </row>
    <row r="216">
      <c r="A216">
        <f>IF(B216="","",VLOOKUP(B216,Lists!$A$2:$B$25,2,FALSE)&amp;"-"&amp;D216&amp;"-"&amp;TEXT(E216,"000"))</f>
        <v/>
      </c>
      <c r="E216">
        <f>IF(B216="","",COUNTIFS($B$2:B216,B216,$D$2:D216,D216))</f>
        <v/>
      </c>
    </row>
    <row r="217">
      <c r="A217">
        <f>IF(B217="","",VLOOKUP(B217,Lists!$A$2:$B$25,2,FALSE)&amp;"-"&amp;D217&amp;"-"&amp;TEXT(E217,"000"))</f>
        <v/>
      </c>
      <c r="E217">
        <f>IF(B217="","",COUNTIFS($B$2:B217,B217,$D$2:D217,D217))</f>
        <v/>
      </c>
    </row>
    <row r="218">
      <c r="A218">
        <f>IF(B218="","",VLOOKUP(B218,Lists!$A$2:$B$25,2,FALSE)&amp;"-"&amp;D218&amp;"-"&amp;TEXT(E218,"000"))</f>
        <v/>
      </c>
      <c r="E218">
        <f>IF(B218="","",COUNTIFS($B$2:B218,B218,$D$2:D218,D218))</f>
        <v/>
      </c>
    </row>
    <row r="219">
      <c r="A219">
        <f>IF(B219="","",VLOOKUP(B219,Lists!$A$2:$B$25,2,FALSE)&amp;"-"&amp;D219&amp;"-"&amp;TEXT(E219,"000"))</f>
        <v/>
      </c>
      <c r="E219">
        <f>IF(B219="","",COUNTIFS($B$2:B219,B219,$D$2:D219,D219))</f>
        <v/>
      </c>
    </row>
    <row r="220">
      <c r="A220">
        <f>IF(B220="","",VLOOKUP(B220,Lists!$A$2:$B$25,2,FALSE)&amp;"-"&amp;D220&amp;"-"&amp;TEXT(E220,"000"))</f>
        <v/>
      </c>
      <c r="E220">
        <f>IF(B220="","",COUNTIFS($B$2:B220,B220,$D$2:D220,D220))</f>
        <v/>
      </c>
    </row>
    <row r="221">
      <c r="A221">
        <f>IF(B221="","",VLOOKUP(B221,Lists!$A$2:$B$25,2,FALSE)&amp;"-"&amp;D221&amp;"-"&amp;TEXT(E221,"000"))</f>
        <v/>
      </c>
      <c r="E221">
        <f>IF(B221="","",COUNTIFS($B$2:B221,B221,$D$2:D221,D221))</f>
        <v/>
      </c>
    </row>
    <row r="222">
      <c r="A222">
        <f>IF(B222="","",VLOOKUP(B222,Lists!$A$2:$B$25,2,FALSE)&amp;"-"&amp;D222&amp;"-"&amp;TEXT(E222,"000"))</f>
        <v/>
      </c>
      <c r="E222">
        <f>IF(B222="","",COUNTIFS($B$2:B222,B222,$D$2:D222,D222))</f>
        <v/>
      </c>
    </row>
    <row r="223">
      <c r="A223">
        <f>IF(B223="","",VLOOKUP(B223,Lists!$A$2:$B$25,2,FALSE)&amp;"-"&amp;D223&amp;"-"&amp;TEXT(E223,"000"))</f>
        <v/>
      </c>
      <c r="E223">
        <f>IF(B223="","",COUNTIFS($B$2:B223,B223,$D$2:D223,D223))</f>
        <v/>
      </c>
    </row>
    <row r="224">
      <c r="A224">
        <f>IF(B224="","",VLOOKUP(B224,Lists!$A$2:$B$25,2,FALSE)&amp;"-"&amp;D224&amp;"-"&amp;TEXT(E224,"000"))</f>
        <v/>
      </c>
      <c r="E224">
        <f>IF(B224="","",COUNTIFS($B$2:B224,B224,$D$2:D224,D224))</f>
        <v/>
      </c>
    </row>
    <row r="225">
      <c r="A225">
        <f>IF(B225="","",VLOOKUP(B225,Lists!$A$2:$B$25,2,FALSE)&amp;"-"&amp;D225&amp;"-"&amp;TEXT(E225,"000"))</f>
        <v/>
      </c>
      <c r="E225">
        <f>IF(B225="","",COUNTIFS($B$2:B225,B225,$D$2:D225,D225))</f>
        <v/>
      </c>
    </row>
    <row r="226">
      <c r="A226">
        <f>IF(B226="","",VLOOKUP(B226,Lists!$A$2:$B$25,2,FALSE)&amp;"-"&amp;D226&amp;"-"&amp;TEXT(E226,"000"))</f>
        <v/>
      </c>
      <c r="E226">
        <f>IF(B226="","",COUNTIFS($B$2:B226,B226,$D$2:D226,D226))</f>
        <v/>
      </c>
    </row>
    <row r="227">
      <c r="A227">
        <f>IF(B227="","",VLOOKUP(B227,Lists!$A$2:$B$25,2,FALSE)&amp;"-"&amp;D227&amp;"-"&amp;TEXT(E227,"000"))</f>
        <v/>
      </c>
      <c r="E227">
        <f>IF(B227="","",COUNTIFS($B$2:B227,B227,$D$2:D227,D227))</f>
        <v/>
      </c>
    </row>
    <row r="228">
      <c r="A228">
        <f>IF(B228="","",VLOOKUP(B228,Lists!$A$2:$B$25,2,FALSE)&amp;"-"&amp;D228&amp;"-"&amp;TEXT(E228,"000"))</f>
        <v/>
      </c>
      <c r="E228">
        <f>IF(B228="","",COUNTIFS($B$2:B228,B228,$D$2:D228,D228))</f>
        <v/>
      </c>
    </row>
    <row r="229">
      <c r="A229">
        <f>IF(B229="","",VLOOKUP(B229,Lists!$A$2:$B$25,2,FALSE)&amp;"-"&amp;D229&amp;"-"&amp;TEXT(E229,"000"))</f>
        <v/>
      </c>
      <c r="E229">
        <f>IF(B229="","",COUNTIFS($B$2:B229,B229,$D$2:D229,D229))</f>
        <v/>
      </c>
    </row>
    <row r="230">
      <c r="A230">
        <f>IF(B230="","",VLOOKUP(B230,Lists!$A$2:$B$25,2,FALSE)&amp;"-"&amp;D230&amp;"-"&amp;TEXT(E230,"000"))</f>
        <v/>
      </c>
      <c r="E230">
        <f>IF(B230="","",COUNTIFS($B$2:B230,B230,$D$2:D230,D230))</f>
        <v/>
      </c>
    </row>
    <row r="231">
      <c r="A231">
        <f>IF(B231="","",VLOOKUP(B231,Lists!$A$2:$B$25,2,FALSE)&amp;"-"&amp;D231&amp;"-"&amp;TEXT(E231,"000"))</f>
        <v/>
      </c>
      <c r="E231">
        <f>IF(B231="","",COUNTIFS($B$2:B231,B231,$D$2:D231,D231))</f>
        <v/>
      </c>
    </row>
    <row r="232">
      <c r="A232">
        <f>IF(B232="","",VLOOKUP(B232,Lists!$A$2:$B$25,2,FALSE)&amp;"-"&amp;D232&amp;"-"&amp;TEXT(E232,"000"))</f>
        <v/>
      </c>
      <c r="E232">
        <f>IF(B232="","",COUNTIFS($B$2:B232,B232,$D$2:D232,D232))</f>
        <v/>
      </c>
    </row>
    <row r="233">
      <c r="A233">
        <f>IF(B233="","",VLOOKUP(B233,Lists!$A$2:$B$25,2,FALSE)&amp;"-"&amp;D233&amp;"-"&amp;TEXT(E233,"000"))</f>
        <v/>
      </c>
      <c r="E233">
        <f>IF(B233="","",COUNTIFS($B$2:B233,B233,$D$2:D233,D233))</f>
        <v/>
      </c>
    </row>
    <row r="234">
      <c r="A234">
        <f>IF(B234="","",VLOOKUP(B234,Lists!$A$2:$B$25,2,FALSE)&amp;"-"&amp;D234&amp;"-"&amp;TEXT(E234,"000"))</f>
        <v/>
      </c>
      <c r="E234">
        <f>IF(B234="","",COUNTIFS($B$2:B234,B234,$D$2:D234,D234))</f>
        <v/>
      </c>
    </row>
    <row r="235">
      <c r="A235">
        <f>IF(B235="","",VLOOKUP(B235,Lists!$A$2:$B$25,2,FALSE)&amp;"-"&amp;D235&amp;"-"&amp;TEXT(E235,"000"))</f>
        <v/>
      </c>
      <c r="E235">
        <f>IF(B235="","",COUNTIFS($B$2:B235,B235,$D$2:D235,D235))</f>
        <v/>
      </c>
    </row>
    <row r="236">
      <c r="A236">
        <f>IF(B236="","",VLOOKUP(B236,Lists!$A$2:$B$25,2,FALSE)&amp;"-"&amp;D236&amp;"-"&amp;TEXT(E236,"000"))</f>
        <v/>
      </c>
      <c r="E236">
        <f>IF(B236="","",COUNTIFS($B$2:B236,B236,$D$2:D236,D236))</f>
        <v/>
      </c>
    </row>
    <row r="237">
      <c r="A237">
        <f>IF(B237="","",VLOOKUP(B237,Lists!$A$2:$B$25,2,FALSE)&amp;"-"&amp;D237&amp;"-"&amp;TEXT(E237,"000"))</f>
        <v/>
      </c>
      <c r="E237">
        <f>IF(B237="","",COUNTIFS($B$2:B237,B237,$D$2:D237,D237))</f>
        <v/>
      </c>
    </row>
    <row r="238">
      <c r="A238">
        <f>IF(B238="","",VLOOKUP(B238,Lists!$A$2:$B$25,2,FALSE)&amp;"-"&amp;D238&amp;"-"&amp;TEXT(E238,"000"))</f>
        <v/>
      </c>
      <c r="E238">
        <f>IF(B238="","",COUNTIFS($B$2:B238,B238,$D$2:D238,D238))</f>
        <v/>
      </c>
    </row>
    <row r="239">
      <c r="A239">
        <f>IF(B239="","",VLOOKUP(B239,Lists!$A$2:$B$25,2,FALSE)&amp;"-"&amp;D239&amp;"-"&amp;TEXT(E239,"000"))</f>
        <v/>
      </c>
      <c r="E239">
        <f>IF(B239="","",COUNTIFS($B$2:B239,B239,$D$2:D239,D239))</f>
        <v/>
      </c>
    </row>
    <row r="240">
      <c r="A240">
        <f>IF(B240="","",VLOOKUP(B240,Lists!$A$2:$B$25,2,FALSE)&amp;"-"&amp;D240&amp;"-"&amp;TEXT(E240,"000"))</f>
        <v/>
      </c>
      <c r="E240">
        <f>IF(B240="","",COUNTIFS($B$2:B240,B240,$D$2:D240,D240))</f>
        <v/>
      </c>
    </row>
    <row r="241">
      <c r="A241">
        <f>IF(B241="","",VLOOKUP(B241,Lists!$A$2:$B$25,2,FALSE)&amp;"-"&amp;D241&amp;"-"&amp;TEXT(E241,"000"))</f>
        <v/>
      </c>
      <c r="E241">
        <f>IF(B241="","",COUNTIFS($B$2:B241,B241,$D$2:D241,D241))</f>
        <v/>
      </c>
    </row>
    <row r="242">
      <c r="A242">
        <f>IF(B242="","",VLOOKUP(B242,Lists!$A$2:$B$25,2,FALSE)&amp;"-"&amp;D242&amp;"-"&amp;TEXT(E242,"000"))</f>
        <v/>
      </c>
      <c r="E242">
        <f>IF(B242="","",COUNTIFS($B$2:B242,B242,$D$2:D242,D242))</f>
        <v/>
      </c>
    </row>
    <row r="243">
      <c r="A243">
        <f>IF(B243="","",VLOOKUP(B243,Lists!$A$2:$B$25,2,FALSE)&amp;"-"&amp;D243&amp;"-"&amp;TEXT(E243,"000"))</f>
        <v/>
      </c>
      <c r="E243">
        <f>IF(B243="","",COUNTIFS($B$2:B243,B243,$D$2:D243,D243))</f>
        <v/>
      </c>
    </row>
    <row r="244">
      <c r="A244">
        <f>IF(B244="","",VLOOKUP(B244,Lists!$A$2:$B$25,2,FALSE)&amp;"-"&amp;D244&amp;"-"&amp;TEXT(E244,"000"))</f>
        <v/>
      </c>
      <c r="E244">
        <f>IF(B244="","",COUNTIFS($B$2:B244,B244,$D$2:D244,D244))</f>
        <v/>
      </c>
    </row>
    <row r="245">
      <c r="A245">
        <f>IF(B245="","",VLOOKUP(B245,Lists!$A$2:$B$25,2,FALSE)&amp;"-"&amp;D245&amp;"-"&amp;TEXT(E245,"000"))</f>
        <v/>
      </c>
      <c r="E245">
        <f>IF(B245="","",COUNTIFS($B$2:B245,B245,$D$2:D245,D245))</f>
        <v/>
      </c>
    </row>
    <row r="246">
      <c r="A246">
        <f>IF(B246="","",VLOOKUP(B246,Lists!$A$2:$B$25,2,FALSE)&amp;"-"&amp;D246&amp;"-"&amp;TEXT(E246,"000"))</f>
        <v/>
      </c>
      <c r="E246">
        <f>IF(B246="","",COUNTIFS($B$2:B246,B246,$D$2:D246,D246))</f>
        <v/>
      </c>
    </row>
    <row r="247">
      <c r="A247">
        <f>IF(B247="","",VLOOKUP(B247,Lists!$A$2:$B$25,2,FALSE)&amp;"-"&amp;D247&amp;"-"&amp;TEXT(E247,"000"))</f>
        <v/>
      </c>
      <c r="E247">
        <f>IF(B247="","",COUNTIFS($B$2:B247,B247,$D$2:D247,D247))</f>
        <v/>
      </c>
    </row>
    <row r="248">
      <c r="A248">
        <f>IF(B248="","",VLOOKUP(B248,Lists!$A$2:$B$25,2,FALSE)&amp;"-"&amp;D248&amp;"-"&amp;TEXT(E248,"000"))</f>
        <v/>
      </c>
      <c r="E248">
        <f>IF(B248="","",COUNTIFS($B$2:B248,B248,$D$2:D248,D248))</f>
        <v/>
      </c>
    </row>
    <row r="249">
      <c r="A249">
        <f>IF(B249="","",VLOOKUP(B249,Lists!$A$2:$B$25,2,FALSE)&amp;"-"&amp;D249&amp;"-"&amp;TEXT(E249,"000"))</f>
        <v/>
      </c>
      <c r="E249">
        <f>IF(B249="","",COUNTIFS($B$2:B249,B249,$D$2:D249,D249))</f>
        <v/>
      </c>
    </row>
    <row r="250">
      <c r="A250">
        <f>IF(B250="","",VLOOKUP(B250,Lists!$A$2:$B$25,2,FALSE)&amp;"-"&amp;D250&amp;"-"&amp;TEXT(E250,"000"))</f>
        <v/>
      </c>
      <c r="E250">
        <f>IF(B250="","",COUNTIFS($B$2:B250,B250,$D$2:D250,D250))</f>
        <v/>
      </c>
    </row>
    <row r="251">
      <c r="A251">
        <f>IF(B251="","",VLOOKUP(B251,Lists!$A$2:$B$25,2,FALSE)&amp;"-"&amp;D251&amp;"-"&amp;TEXT(E251,"000"))</f>
        <v/>
      </c>
      <c r="E251">
        <f>IF(B251="","",COUNTIFS($B$2:B251,B251,$D$2:D251,D251))</f>
        <v/>
      </c>
    </row>
    <row r="252">
      <c r="A252">
        <f>IF(B252="","",VLOOKUP(B252,Lists!$A$2:$B$25,2,FALSE)&amp;"-"&amp;D252&amp;"-"&amp;TEXT(E252,"000"))</f>
        <v/>
      </c>
      <c r="E252">
        <f>IF(B252="","",COUNTIFS($B$2:B252,B252,$D$2:D252,D252))</f>
        <v/>
      </c>
    </row>
    <row r="253">
      <c r="A253">
        <f>IF(B253="","",VLOOKUP(B253,Lists!$A$2:$B$25,2,FALSE)&amp;"-"&amp;D253&amp;"-"&amp;TEXT(E253,"000"))</f>
        <v/>
      </c>
      <c r="E253">
        <f>IF(B253="","",COUNTIFS($B$2:B253,B253,$D$2:D253,D253))</f>
        <v/>
      </c>
    </row>
    <row r="254">
      <c r="A254">
        <f>IF(B254="","",VLOOKUP(B254,Lists!$A$2:$B$25,2,FALSE)&amp;"-"&amp;D254&amp;"-"&amp;TEXT(E254,"000"))</f>
        <v/>
      </c>
      <c r="E254">
        <f>IF(B254="","",COUNTIFS($B$2:B254,B254,$D$2:D254,D254))</f>
        <v/>
      </c>
    </row>
    <row r="255">
      <c r="A255">
        <f>IF(B255="","",VLOOKUP(B255,Lists!$A$2:$B$25,2,FALSE)&amp;"-"&amp;D255&amp;"-"&amp;TEXT(E255,"000"))</f>
        <v/>
      </c>
      <c r="E255">
        <f>IF(B255="","",COUNTIFS($B$2:B255,B255,$D$2:D255,D255))</f>
        <v/>
      </c>
    </row>
    <row r="256">
      <c r="A256">
        <f>IF(B256="","",VLOOKUP(B256,Lists!$A$2:$B$25,2,FALSE)&amp;"-"&amp;D256&amp;"-"&amp;TEXT(E256,"000"))</f>
        <v/>
      </c>
      <c r="E256">
        <f>IF(B256="","",COUNTIFS($B$2:B256,B256,$D$2:D256,D256))</f>
        <v/>
      </c>
    </row>
    <row r="257">
      <c r="A257">
        <f>IF(B257="","",VLOOKUP(B257,Lists!$A$2:$B$25,2,FALSE)&amp;"-"&amp;D257&amp;"-"&amp;TEXT(E257,"000"))</f>
        <v/>
      </c>
      <c r="E257">
        <f>IF(B257="","",COUNTIFS($B$2:B257,B257,$D$2:D257,D257))</f>
        <v/>
      </c>
    </row>
    <row r="258">
      <c r="A258">
        <f>IF(B258="","",VLOOKUP(B258,Lists!$A$2:$B$25,2,FALSE)&amp;"-"&amp;D258&amp;"-"&amp;TEXT(E258,"000"))</f>
        <v/>
      </c>
      <c r="E258">
        <f>IF(B258="","",COUNTIFS($B$2:B258,B258,$D$2:D258,D258))</f>
        <v/>
      </c>
    </row>
    <row r="259">
      <c r="A259">
        <f>IF(B259="","",VLOOKUP(B259,Lists!$A$2:$B$25,2,FALSE)&amp;"-"&amp;D259&amp;"-"&amp;TEXT(E259,"000"))</f>
        <v/>
      </c>
      <c r="E259">
        <f>IF(B259="","",COUNTIFS($B$2:B259,B259,$D$2:D259,D259))</f>
        <v/>
      </c>
    </row>
    <row r="260">
      <c r="A260">
        <f>IF(B260="","",VLOOKUP(B260,Lists!$A$2:$B$25,2,FALSE)&amp;"-"&amp;D260&amp;"-"&amp;TEXT(E260,"000"))</f>
        <v/>
      </c>
      <c r="E260">
        <f>IF(B260="","",COUNTIFS($B$2:B260,B260,$D$2:D260,D260))</f>
        <v/>
      </c>
    </row>
    <row r="261">
      <c r="A261">
        <f>IF(B261="","",VLOOKUP(B261,Lists!$A$2:$B$25,2,FALSE)&amp;"-"&amp;D261&amp;"-"&amp;TEXT(E261,"000"))</f>
        <v/>
      </c>
      <c r="E261">
        <f>IF(B261="","",COUNTIFS($B$2:B261,B261,$D$2:D261,D261))</f>
        <v/>
      </c>
    </row>
    <row r="262">
      <c r="A262">
        <f>IF(B262="","",VLOOKUP(B262,Lists!$A$2:$B$25,2,FALSE)&amp;"-"&amp;D262&amp;"-"&amp;TEXT(E262,"000"))</f>
        <v/>
      </c>
      <c r="E262">
        <f>IF(B262="","",COUNTIFS($B$2:B262,B262,$D$2:D262,D262))</f>
        <v/>
      </c>
    </row>
    <row r="263">
      <c r="A263">
        <f>IF(B263="","",VLOOKUP(B263,Lists!$A$2:$B$25,2,FALSE)&amp;"-"&amp;D263&amp;"-"&amp;TEXT(E263,"000"))</f>
        <v/>
      </c>
      <c r="E263">
        <f>IF(B263="","",COUNTIFS($B$2:B263,B263,$D$2:D263,D263))</f>
        <v/>
      </c>
    </row>
    <row r="264">
      <c r="A264">
        <f>IF(B264="","",VLOOKUP(B264,Lists!$A$2:$B$25,2,FALSE)&amp;"-"&amp;D264&amp;"-"&amp;TEXT(E264,"000"))</f>
        <v/>
      </c>
      <c r="E264">
        <f>IF(B264="","",COUNTIFS($B$2:B264,B264,$D$2:D264,D264))</f>
        <v/>
      </c>
    </row>
    <row r="265">
      <c r="A265">
        <f>IF(B265="","",VLOOKUP(B265,Lists!$A$2:$B$25,2,FALSE)&amp;"-"&amp;D265&amp;"-"&amp;TEXT(E265,"000"))</f>
        <v/>
      </c>
      <c r="E265">
        <f>IF(B265="","",COUNTIFS($B$2:B265,B265,$D$2:D265,D265))</f>
        <v/>
      </c>
    </row>
    <row r="266">
      <c r="A266">
        <f>IF(B266="","",VLOOKUP(B266,Lists!$A$2:$B$25,2,FALSE)&amp;"-"&amp;D266&amp;"-"&amp;TEXT(E266,"000"))</f>
        <v/>
      </c>
      <c r="E266">
        <f>IF(B266="","",COUNTIFS($B$2:B266,B266,$D$2:D266,D266))</f>
        <v/>
      </c>
    </row>
    <row r="267">
      <c r="A267">
        <f>IF(B267="","",VLOOKUP(B267,Lists!$A$2:$B$25,2,FALSE)&amp;"-"&amp;D267&amp;"-"&amp;TEXT(E267,"000"))</f>
        <v/>
      </c>
      <c r="E267">
        <f>IF(B267="","",COUNTIFS($B$2:B267,B267,$D$2:D267,D267))</f>
        <v/>
      </c>
    </row>
    <row r="268">
      <c r="A268">
        <f>IF(B268="","",VLOOKUP(B268,Lists!$A$2:$B$25,2,FALSE)&amp;"-"&amp;D268&amp;"-"&amp;TEXT(E268,"000"))</f>
        <v/>
      </c>
      <c r="E268">
        <f>IF(B268="","",COUNTIFS($B$2:B268,B268,$D$2:D268,D268))</f>
        <v/>
      </c>
    </row>
    <row r="269">
      <c r="A269">
        <f>IF(B269="","",VLOOKUP(B269,Lists!$A$2:$B$25,2,FALSE)&amp;"-"&amp;D269&amp;"-"&amp;TEXT(E269,"000"))</f>
        <v/>
      </c>
      <c r="E269">
        <f>IF(B269="","",COUNTIFS($B$2:B269,B269,$D$2:D269,D269))</f>
        <v/>
      </c>
    </row>
    <row r="270">
      <c r="A270">
        <f>IF(B270="","",VLOOKUP(B270,Lists!$A$2:$B$25,2,FALSE)&amp;"-"&amp;D270&amp;"-"&amp;TEXT(E270,"000"))</f>
        <v/>
      </c>
      <c r="E270">
        <f>IF(B270="","",COUNTIFS($B$2:B270,B270,$D$2:D270,D270))</f>
        <v/>
      </c>
    </row>
    <row r="271">
      <c r="A271">
        <f>IF(B271="","",VLOOKUP(B271,Lists!$A$2:$B$25,2,FALSE)&amp;"-"&amp;D271&amp;"-"&amp;TEXT(E271,"000"))</f>
        <v/>
      </c>
      <c r="E271">
        <f>IF(B271="","",COUNTIFS($B$2:B271,B271,$D$2:D271,D271))</f>
        <v/>
      </c>
    </row>
    <row r="272">
      <c r="A272">
        <f>IF(B272="","",VLOOKUP(B272,Lists!$A$2:$B$25,2,FALSE)&amp;"-"&amp;D272&amp;"-"&amp;TEXT(E272,"000"))</f>
        <v/>
      </c>
      <c r="E272">
        <f>IF(B272="","",COUNTIFS($B$2:B272,B272,$D$2:D272,D272))</f>
        <v/>
      </c>
    </row>
    <row r="273">
      <c r="A273">
        <f>IF(B273="","",VLOOKUP(B273,Lists!$A$2:$B$25,2,FALSE)&amp;"-"&amp;D273&amp;"-"&amp;TEXT(E273,"000"))</f>
        <v/>
      </c>
      <c r="E273">
        <f>IF(B273="","",COUNTIFS($B$2:B273,B273,$D$2:D273,D273))</f>
        <v/>
      </c>
    </row>
    <row r="274">
      <c r="A274">
        <f>IF(B274="","",VLOOKUP(B274,Lists!$A$2:$B$25,2,FALSE)&amp;"-"&amp;D274&amp;"-"&amp;TEXT(E274,"000"))</f>
        <v/>
      </c>
      <c r="E274">
        <f>IF(B274="","",COUNTIFS($B$2:B274,B274,$D$2:D274,D274))</f>
        <v/>
      </c>
    </row>
    <row r="275">
      <c r="A275">
        <f>IF(B275="","",VLOOKUP(B275,Lists!$A$2:$B$25,2,FALSE)&amp;"-"&amp;D275&amp;"-"&amp;TEXT(E275,"000"))</f>
        <v/>
      </c>
      <c r="E275">
        <f>IF(B275="","",COUNTIFS($B$2:B275,B275,$D$2:D275,D275))</f>
        <v/>
      </c>
    </row>
    <row r="276">
      <c r="A276">
        <f>IF(B276="","",VLOOKUP(B276,Lists!$A$2:$B$25,2,FALSE)&amp;"-"&amp;D276&amp;"-"&amp;TEXT(E276,"000"))</f>
        <v/>
      </c>
      <c r="E276">
        <f>IF(B276="","",COUNTIFS($B$2:B276,B276,$D$2:D276,D276))</f>
        <v/>
      </c>
    </row>
    <row r="277">
      <c r="A277">
        <f>IF(B277="","",VLOOKUP(B277,Lists!$A$2:$B$25,2,FALSE)&amp;"-"&amp;D277&amp;"-"&amp;TEXT(E277,"000"))</f>
        <v/>
      </c>
      <c r="E277">
        <f>IF(B277="","",COUNTIFS($B$2:B277,B277,$D$2:D277,D277))</f>
        <v/>
      </c>
    </row>
    <row r="278">
      <c r="A278">
        <f>IF(B278="","",VLOOKUP(B278,Lists!$A$2:$B$25,2,FALSE)&amp;"-"&amp;D278&amp;"-"&amp;TEXT(E278,"000"))</f>
        <v/>
      </c>
      <c r="E278">
        <f>IF(B278="","",COUNTIFS($B$2:B278,B278,$D$2:D278,D278))</f>
        <v/>
      </c>
    </row>
    <row r="279">
      <c r="A279">
        <f>IF(B279="","",VLOOKUP(B279,Lists!$A$2:$B$25,2,FALSE)&amp;"-"&amp;D279&amp;"-"&amp;TEXT(E279,"000"))</f>
        <v/>
      </c>
      <c r="E279">
        <f>IF(B279="","",COUNTIFS($B$2:B279,B279,$D$2:D279,D279))</f>
        <v/>
      </c>
    </row>
    <row r="280">
      <c r="A280">
        <f>IF(B280="","",VLOOKUP(B280,Lists!$A$2:$B$25,2,FALSE)&amp;"-"&amp;D280&amp;"-"&amp;TEXT(E280,"000"))</f>
        <v/>
      </c>
      <c r="E280">
        <f>IF(B280="","",COUNTIFS($B$2:B280,B280,$D$2:D280,D280))</f>
        <v/>
      </c>
    </row>
    <row r="281">
      <c r="A281">
        <f>IF(B281="","",VLOOKUP(B281,Lists!$A$2:$B$25,2,FALSE)&amp;"-"&amp;D281&amp;"-"&amp;TEXT(E281,"000"))</f>
        <v/>
      </c>
      <c r="E281">
        <f>IF(B281="","",COUNTIFS($B$2:B281,B281,$D$2:D281,D281))</f>
        <v/>
      </c>
    </row>
    <row r="282">
      <c r="A282">
        <f>IF(B282="","",VLOOKUP(B282,Lists!$A$2:$B$25,2,FALSE)&amp;"-"&amp;D282&amp;"-"&amp;TEXT(E282,"000"))</f>
        <v/>
      </c>
      <c r="E282">
        <f>IF(B282="","",COUNTIFS($B$2:B282,B282,$D$2:D282,D282))</f>
        <v/>
      </c>
    </row>
    <row r="283">
      <c r="A283">
        <f>IF(B283="","",VLOOKUP(B283,Lists!$A$2:$B$25,2,FALSE)&amp;"-"&amp;D283&amp;"-"&amp;TEXT(E283,"000"))</f>
        <v/>
      </c>
      <c r="E283">
        <f>IF(B283="","",COUNTIFS($B$2:B283,B283,$D$2:D283,D283))</f>
        <v/>
      </c>
    </row>
    <row r="284">
      <c r="A284">
        <f>IF(B284="","",VLOOKUP(B284,Lists!$A$2:$B$25,2,FALSE)&amp;"-"&amp;D284&amp;"-"&amp;TEXT(E284,"000"))</f>
        <v/>
      </c>
      <c r="E284">
        <f>IF(B284="","",COUNTIFS($B$2:B284,B284,$D$2:D284,D284))</f>
        <v/>
      </c>
    </row>
    <row r="285">
      <c r="A285">
        <f>IF(B285="","",VLOOKUP(B285,Lists!$A$2:$B$25,2,FALSE)&amp;"-"&amp;D285&amp;"-"&amp;TEXT(E285,"000"))</f>
        <v/>
      </c>
      <c r="E285">
        <f>IF(B285="","",COUNTIFS($B$2:B285,B285,$D$2:D285,D285))</f>
        <v/>
      </c>
    </row>
    <row r="286">
      <c r="A286">
        <f>IF(B286="","",VLOOKUP(B286,Lists!$A$2:$B$25,2,FALSE)&amp;"-"&amp;D286&amp;"-"&amp;TEXT(E286,"000"))</f>
        <v/>
      </c>
      <c r="E286">
        <f>IF(B286="","",COUNTIFS($B$2:B286,B286,$D$2:D286,D286))</f>
        <v/>
      </c>
    </row>
    <row r="287">
      <c r="A287">
        <f>IF(B287="","",VLOOKUP(B287,Lists!$A$2:$B$25,2,FALSE)&amp;"-"&amp;D287&amp;"-"&amp;TEXT(E287,"000"))</f>
        <v/>
      </c>
      <c r="E287">
        <f>IF(B287="","",COUNTIFS($B$2:B287,B287,$D$2:D287,D287))</f>
        <v/>
      </c>
    </row>
    <row r="288">
      <c r="A288">
        <f>IF(B288="","",VLOOKUP(B288,Lists!$A$2:$B$25,2,FALSE)&amp;"-"&amp;D288&amp;"-"&amp;TEXT(E288,"000"))</f>
        <v/>
      </c>
      <c r="E288">
        <f>IF(B288="","",COUNTIFS($B$2:B288,B288,$D$2:D288,D288))</f>
        <v/>
      </c>
    </row>
    <row r="289">
      <c r="A289">
        <f>IF(B289="","",VLOOKUP(B289,Lists!$A$2:$B$25,2,FALSE)&amp;"-"&amp;D289&amp;"-"&amp;TEXT(E289,"000"))</f>
        <v/>
      </c>
      <c r="E289">
        <f>IF(B289="","",COUNTIFS($B$2:B289,B289,$D$2:D289,D289))</f>
        <v/>
      </c>
    </row>
    <row r="290">
      <c r="A290">
        <f>IF(B290="","",VLOOKUP(B290,Lists!$A$2:$B$25,2,FALSE)&amp;"-"&amp;D290&amp;"-"&amp;TEXT(E290,"000"))</f>
        <v/>
      </c>
      <c r="E290">
        <f>IF(B290="","",COUNTIFS($B$2:B290,B290,$D$2:D290,D290))</f>
        <v/>
      </c>
    </row>
    <row r="291">
      <c r="A291">
        <f>IF(B291="","",VLOOKUP(B291,Lists!$A$2:$B$25,2,FALSE)&amp;"-"&amp;D291&amp;"-"&amp;TEXT(E291,"000"))</f>
        <v/>
      </c>
      <c r="E291">
        <f>IF(B291="","",COUNTIFS($B$2:B291,B291,$D$2:D291,D291))</f>
        <v/>
      </c>
    </row>
    <row r="292">
      <c r="A292">
        <f>IF(B292="","",VLOOKUP(B292,Lists!$A$2:$B$25,2,FALSE)&amp;"-"&amp;D292&amp;"-"&amp;TEXT(E292,"000"))</f>
        <v/>
      </c>
      <c r="E292">
        <f>IF(B292="","",COUNTIFS($B$2:B292,B292,$D$2:D292,D292))</f>
        <v/>
      </c>
    </row>
    <row r="293">
      <c r="A293">
        <f>IF(B293="","",VLOOKUP(B293,Lists!$A$2:$B$25,2,FALSE)&amp;"-"&amp;D293&amp;"-"&amp;TEXT(E293,"000"))</f>
        <v/>
      </c>
      <c r="E293">
        <f>IF(B293="","",COUNTIFS($B$2:B293,B293,$D$2:D293,D293))</f>
        <v/>
      </c>
    </row>
    <row r="294">
      <c r="A294">
        <f>IF(B294="","",VLOOKUP(B294,Lists!$A$2:$B$25,2,FALSE)&amp;"-"&amp;D294&amp;"-"&amp;TEXT(E294,"000"))</f>
        <v/>
      </c>
      <c r="E294">
        <f>IF(B294="","",COUNTIFS($B$2:B294,B294,$D$2:D294,D294))</f>
        <v/>
      </c>
    </row>
    <row r="295">
      <c r="A295">
        <f>IF(B295="","",VLOOKUP(B295,Lists!$A$2:$B$25,2,FALSE)&amp;"-"&amp;D295&amp;"-"&amp;TEXT(E295,"000"))</f>
        <v/>
      </c>
      <c r="E295">
        <f>IF(B295="","",COUNTIFS($B$2:B295,B295,$D$2:D295,D295))</f>
        <v/>
      </c>
    </row>
    <row r="296">
      <c r="A296">
        <f>IF(B296="","",VLOOKUP(B296,Lists!$A$2:$B$25,2,FALSE)&amp;"-"&amp;D296&amp;"-"&amp;TEXT(E296,"000"))</f>
        <v/>
      </c>
      <c r="E296">
        <f>IF(B296="","",COUNTIFS($B$2:B296,B296,$D$2:D296,D296))</f>
        <v/>
      </c>
    </row>
    <row r="297">
      <c r="A297">
        <f>IF(B297="","",VLOOKUP(B297,Lists!$A$2:$B$25,2,FALSE)&amp;"-"&amp;D297&amp;"-"&amp;TEXT(E297,"000"))</f>
        <v/>
      </c>
      <c r="E297">
        <f>IF(B297="","",COUNTIFS($B$2:B297,B297,$D$2:D297,D297))</f>
        <v/>
      </c>
    </row>
    <row r="298">
      <c r="A298">
        <f>IF(B298="","",VLOOKUP(B298,Lists!$A$2:$B$25,2,FALSE)&amp;"-"&amp;D298&amp;"-"&amp;TEXT(E298,"000"))</f>
        <v/>
      </c>
      <c r="E298">
        <f>IF(B298="","",COUNTIFS($B$2:B298,B298,$D$2:D298,D298))</f>
        <v/>
      </c>
    </row>
    <row r="299">
      <c r="A299">
        <f>IF(B299="","",VLOOKUP(B299,Lists!$A$2:$B$25,2,FALSE)&amp;"-"&amp;D299&amp;"-"&amp;TEXT(E299,"000"))</f>
        <v/>
      </c>
      <c r="E299">
        <f>IF(B299="","",COUNTIFS($B$2:B299,B299,$D$2:D299,D299))</f>
        <v/>
      </c>
    </row>
    <row r="300">
      <c r="A300">
        <f>IF(B300="","",VLOOKUP(B300,Lists!$A$2:$B$25,2,FALSE)&amp;"-"&amp;D300&amp;"-"&amp;TEXT(E300,"000"))</f>
        <v/>
      </c>
      <c r="E300">
        <f>IF(B300="","",COUNTIFS($B$2:B300,B300,$D$2:D300,D300))</f>
        <v/>
      </c>
    </row>
    <row r="301">
      <c r="A301">
        <f>IF(B301="","",VLOOKUP(B301,Lists!$A$2:$B$25,2,FALSE)&amp;"-"&amp;D301&amp;"-"&amp;TEXT(E301,"000"))</f>
        <v/>
      </c>
      <c r="E301">
        <f>IF(B301="","",COUNTIFS($B$2:B301,B301,$D$2:D301,D301))</f>
        <v/>
      </c>
    </row>
    <row r="302">
      <c r="A302">
        <f>IF(B302="","",VLOOKUP(B302,Lists!$A$2:$B$25,2,FALSE)&amp;"-"&amp;D302&amp;"-"&amp;TEXT(E302,"000"))</f>
        <v/>
      </c>
      <c r="E302">
        <f>IF(B302="","",COUNTIFS($B$2:B302,B302,$D$2:D302,D302))</f>
        <v/>
      </c>
    </row>
    <row r="303">
      <c r="A303">
        <f>IF(B303="","",VLOOKUP(B303,Lists!$A$2:$B$25,2,FALSE)&amp;"-"&amp;D303&amp;"-"&amp;TEXT(E303,"000"))</f>
        <v/>
      </c>
      <c r="E303">
        <f>IF(B303="","",COUNTIFS($B$2:B303,B303,$D$2:D303,D303))</f>
        <v/>
      </c>
    </row>
    <row r="304">
      <c r="A304">
        <f>IF(B304="","",VLOOKUP(B304,Lists!$A$2:$B$25,2,FALSE)&amp;"-"&amp;D304&amp;"-"&amp;TEXT(E304,"000"))</f>
        <v/>
      </c>
      <c r="E304">
        <f>IF(B304="","",COUNTIFS($B$2:B304,B304,$D$2:D304,D304))</f>
        <v/>
      </c>
    </row>
    <row r="305">
      <c r="A305">
        <f>IF(B305="","",VLOOKUP(B305,Lists!$A$2:$B$25,2,FALSE)&amp;"-"&amp;D305&amp;"-"&amp;TEXT(E305,"000"))</f>
        <v/>
      </c>
      <c r="E305">
        <f>IF(B305="","",COUNTIFS($B$2:B305,B305,$D$2:D305,D305))</f>
        <v/>
      </c>
    </row>
    <row r="306">
      <c r="A306">
        <f>IF(B306="","",VLOOKUP(B306,Lists!$A$2:$B$25,2,FALSE)&amp;"-"&amp;D306&amp;"-"&amp;TEXT(E306,"000"))</f>
        <v/>
      </c>
      <c r="E306">
        <f>IF(B306="","",COUNTIFS($B$2:B306,B306,$D$2:D306,D306))</f>
        <v/>
      </c>
    </row>
    <row r="307">
      <c r="A307">
        <f>IF(B307="","",VLOOKUP(B307,Lists!$A$2:$B$25,2,FALSE)&amp;"-"&amp;D307&amp;"-"&amp;TEXT(E307,"000"))</f>
        <v/>
      </c>
      <c r="E307">
        <f>IF(B307="","",COUNTIFS($B$2:B307,B307,$D$2:D307,D307))</f>
        <v/>
      </c>
    </row>
    <row r="308">
      <c r="A308">
        <f>IF(B308="","",VLOOKUP(B308,Lists!$A$2:$B$25,2,FALSE)&amp;"-"&amp;D308&amp;"-"&amp;TEXT(E308,"000"))</f>
        <v/>
      </c>
      <c r="E308">
        <f>IF(B308="","",COUNTIFS($B$2:B308,B308,$D$2:D308,D308))</f>
        <v/>
      </c>
    </row>
    <row r="309">
      <c r="A309">
        <f>IF(B309="","",VLOOKUP(B309,Lists!$A$2:$B$25,2,FALSE)&amp;"-"&amp;D309&amp;"-"&amp;TEXT(E309,"000"))</f>
        <v/>
      </c>
      <c r="E309">
        <f>IF(B309="","",COUNTIFS($B$2:B309,B309,$D$2:D309,D309))</f>
        <v/>
      </c>
    </row>
    <row r="310">
      <c r="A310">
        <f>IF(B310="","",VLOOKUP(B310,Lists!$A$2:$B$25,2,FALSE)&amp;"-"&amp;D310&amp;"-"&amp;TEXT(E310,"000"))</f>
        <v/>
      </c>
      <c r="E310">
        <f>IF(B310="","",COUNTIFS($B$2:B310,B310,$D$2:D310,D310))</f>
        <v/>
      </c>
    </row>
    <row r="311">
      <c r="A311">
        <f>IF(B311="","",VLOOKUP(B311,Lists!$A$2:$B$25,2,FALSE)&amp;"-"&amp;D311&amp;"-"&amp;TEXT(E311,"000"))</f>
        <v/>
      </c>
      <c r="E311">
        <f>IF(B311="","",COUNTIFS($B$2:B311,B311,$D$2:D311,D311))</f>
        <v/>
      </c>
    </row>
    <row r="312">
      <c r="A312">
        <f>IF(B312="","",VLOOKUP(B312,Lists!$A$2:$B$25,2,FALSE)&amp;"-"&amp;D312&amp;"-"&amp;TEXT(E312,"000"))</f>
        <v/>
      </c>
      <c r="E312">
        <f>IF(B312="","",COUNTIFS($B$2:B312,B312,$D$2:D312,D312))</f>
        <v/>
      </c>
    </row>
    <row r="313">
      <c r="A313">
        <f>IF(B313="","",VLOOKUP(B313,Lists!$A$2:$B$25,2,FALSE)&amp;"-"&amp;D313&amp;"-"&amp;TEXT(E313,"000"))</f>
        <v/>
      </c>
      <c r="E313">
        <f>IF(B313="","",COUNTIFS($B$2:B313,B313,$D$2:D313,D313))</f>
        <v/>
      </c>
    </row>
    <row r="314">
      <c r="A314">
        <f>IF(B314="","",VLOOKUP(B314,Lists!$A$2:$B$25,2,FALSE)&amp;"-"&amp;D314&amp;"-"&amp;TEXT(E314,"000"))</f>
        <v/>
      </c>
      <c r="E314">
        <f>IF(B314="","",COUNTIFS($B$2:B314,B314,$D$2:D314,D314))</f>
        <v/>
      </c>
    </row>
    <row r="315">
      <c r="A315">
        <f>IF(B315="","",VLOOKUP(B315,Lists!$A$2:$B$25,2,FALSE)&amp;"-"&amp;D315&amp;"-"&amp;TEXT(E315,"000"))</f>
        <v/>
      </c>
      <c r="E315">
        <f>IF(B315="","",COUNTIFS($B$2:B315,B315,$D$2:D315,D315))</f>
        <v/>
      </c>
    </row>
    <row r="316">
      <c r="A316">
        <f>IF(B316="","",VLOOKUP(B316,Lists!$A$2:$B$25,2,FALSE)&amp;"-"&amp;D316&amp;"-"&amp;TEXT(E316,"000"))</f>
        <v/>
      </c>
      <c r="E316">
        <f>IF(B316="","",COUNTIFS($B$2:B316,B316,$D$2:D316,D316))</f>
        <v/>
      </c>
    </row>
    <row r="317">
      <c r="A317">
        <f>IF(B317="","",VLOOKUP(B317,Lists!$A$2:$B$25,2,FALSE)&amp;"-"&amp;D317&amp;"-"&amp;TEXT(E317,"000"))</f>
        <v/>
      </c>
      <c r="E317">
        <f>IF(B317="","",COUNTIFS($B$2:B317,B317,$D$2:D317,D317))</f>
        <v/>
      </c>
    </row>
    <row r="318">
      <c r="A318">
        <f>IF(B318="","",VLOOKUP(B318,Lists!$A$2:$B$25,2,FALSE)&amp;"-"&amp;D318&amp;"-"&amp;TEXT(E318,"000"))</f>
        <v/>
      </c>
      <c r="E318">
        <f>IF(B318="","",COUNTIFS($B$2:B318,B318,$D$2:D318,D318))</f>
        <v/>
      </c>
    </row>
    <row r="319">
      <c r="A319">
        <f>IF(B319="","",VLOOKUP(B319,Lists!$A$2:$B$25,2,FALSE)&amp;"-"&amp;D319&amp;"-"&amp;TEXT(E319,"000"))</f>
        <v/>
      </c>
      <c r="E319">
        <f>IF(B319="","",COUNTIFS($B$2:B319,B319,$D$2:D319,D319))</f>
        <v/>
      </c>
    </row>
    <row r="320">
      <c r="A320">
        <f>IF(B320="","",VLOOKUP(B320,Lists!$A$2:$B$25,2,FALSE)&amp;"-"&amp;D320&amp;"-"&amp;TEXT(E320,"000"))</f>
        <v/>
      </c>
      <c r="E320">
        <f>IF(B320="","",COUNTIFS($B$2:B320,B320,$D$2:D320,D320))</f>
        <v/>
      </c>
    </row>
    <row r="321">
      <c r="A321">
        <f>IF(B321="","",VLOOKUP(B321,Lists!$A$2:$B$25,2,FALSE)&amp;"-"&amp;D321&amp;"-"&amp;TEXT(E321,"000"))</f>
        <v/>
      </c>
      <c r="E321">
        <f>IF(B321="","",COUNTIFS($B$2:B321,B321,$D$2:D321,D321))</f>
        <v/>
      </c>
    </row>
    <row r="322">
      <c r="A322">
        <f>IF(B322="","",VLOOKUP(B322,Lists!$A$2:$B$25,2,FALSE)&amp;"-"&amp;D322&amp;"-"&amp;TEXT(E322,"000"))</f>
        <v/>
      </c>
      <c r="E322">
        <f>IF(B322="","",COUNTIFS($B$2:B322,B322,$D$2:D322,D322))</f>
        <v/>
      </c>
    </row>
    <row r="323">
      <c r="A323">
        <f>IF(B323="","",VLOOKUP(B323,Lists!$A$2:$B$25,2,FALSE)&amp;"-"&amp;D323&amp;"-"&amp;TEXT(E323,"000"))</f>
        <v/>
      </c>
      <c r="E323">
        <f>IF(B323="","",COUNTIFS($B$2:B323,B323,$D$2:D323,D323))</f>
        <v/>
      </c>
    </row>
    <row r="324">
      <c r="A324">
        <f>IF(B324="","",VLOOKUP(B324,Lists!$A$2:$B$25,2,FALSE)&amp;"-"&amp;D324&amp;"-"&amp;TEXT(E324,"000"))</f>
        <v/>
      </c>
      <c r="E324">
        <f>IF(B324="","",COUNTIFS($B$2:B324,B324,$D$2:D324,D324))</f>
        <v/>
      </c>
    </row>
    <row r="325">
      <c r="A325">
        <f>IF(B325="","",VLOOKUP(B325,Lists!$A$2:$B$25,2,FALSE)&amp;"-"&amp;D325&amp;"-"&amp;TEXT(E325,"000"))</f>
        <v/>
      </c>
      <c r="E325">
        <f>IF(B325="","",COUNTIFS($B$2:B325,B325,$D$2:D325,D325))</f>
        <v/>
      </c>
    </row>
    <row r="326">
      <c r="A326">
        <f>IF(B326="","",VLOOKUP(B326,Lists!$A$2:$B$25,2,FALSE)&amp;"-"&amp;D326&amp;"-"&amp;TEXT(E326,"000"))</f>
        <v/>
      </c>
      <c r="E326">
        <f>IF(B326="","",COUNTIFS($B$2:B326,B326,$D$2:D326,D326))</f>
        <v/>
      </c>
    </row>
    <row r="327">
      <c r="A327">
        <f>IF(B327="","",VLOOKUP(B327,Lists!$A$2:$B$25,2,FALSE)&amp;"-"&amp;D327&amp;"-"&amp;TEXT(E327,"000"))</f>
        <v/>
      </c>
      <c r="E327">
        <f>IF(B327="","",COUNTIFS($B$2:B327,B327,$D$2:D327,D327))</f>
        <v/>
      </c>
    </row>
    <row r="328">
      <c r="A328">
        <f>IF(B328="","",VLOOKUP(B328,Lists!$A$2:$B$25,2,FALSE)&amp;"-"&amp;D328&amp;"-"&amp;TEXT(E328,"000"))</f>
        <v/>
      </c>
      <c r="E328">
        <f>IF(B328="","",COUNTIFS($B$2:B328,B328,$D$2:D328,D328))</f>
        <v/>
      </c>
    </row>
    <row r="329">
      <c r="A329">
        <f>IF(B329="","",VLOOKUP(B329,Lists!$A$2:$B$25,2,FALSE)&amp;"-"&amp;D329&amp;"-"&amp;TEXT(E329,"000"))</f>
        <v/>
      </c>
      <c r="E329">
        <f>IF(B329="","",COUNTIFS($B$2:B329,B329,$D$2:D329,D329))</f>
        <v/>
      </c>
    </row>
    <row r="330">
      <c r="A330">
        <f>IF(B330="","",VLOOKUP(B330,Lists!$A$2:$B$25,2,FALSE)&amp;"-"&amp;D330&amp;"-"&amp;TEXT(E330,"000"))</f>
        <v/>
      </c>
      <c r="E330">
        <f>IF(B330="","",COUNTIFS($B$2:B330,B330,$D$2:D330,D330))</f>
        <v/>
      </c>
    </row>
    <row r="331">
      <c r="A331">
        <f>IF(B331="","",VLOOKUP(B331,Lists!$A$2:$B$25,2,FALSE)&amp;"-"&amp;D331&amp;"-"&amp;TEXT(E331,"000"))</f>
        <v/>
      </c>
      <c r="E331">
        <f>IF(B331="","",COUNTIFS($B$2:B331,B331,$D$2:D331,D331))</f>
        <v/>
      </c>
    </row>
    <row r="332">
      <c r="A332">
        <f>IF(B332="","",VLOOKUP(B332,Lists!$A$2:$B$25,2,FALSE)&amp;"-"&amp;D332&amp;"-"&amp;TEXT(E332,"000"))</f>
        <v/>
      </c>
      <c r="E332">
        <f>IF(B332="","",COUNTIFS($B$2:B332,B332,$D$2:D332,D332))</f>
        <v/>
      </c>
    </row>
    <row r="333">
      <c r="A333">
        <f>IF(B333="","",VLOOKUP(B333,Lists!$A$2:$B$25,2,FALSE)&amp;"-"&amp;D333&amp;"-"&amp;TEXT(E333,"000"))</f>
        <v/>
      </c>
      <c r="E333">
        <f>IF(B333="","",COUNTIFS($B$2:B333,B333,$D$2:D333,D333))</f>
        <v/>
      </c>
    </row>
    <row r="334">
      <c r="A334">
        <f>IF(B334="","",VLOOKUP(B334,Lists!$A$2:$B$25,2,FALSE)&amp;"-"&amp;D334&amp;"-"&amp;TEXT(E334,"000"))</f>
        <v/>
      </c>
      <c r="E334">
        <f>IF(B334="","",COUNTIFS($B$2:B334,B334,$D$2:D334,D334))</f>
        <v/>
      </c>
    </row>
    <row r="335">
      <c r="A335">
        <f>IF(B335="","",VLOOKUP(B335,Lists!$A$2:$B$25,2,FALSE)&amp;"-"&amp;D335&amp;"-"&amp;TEXT(E335,"000"))</f>
        <v/>
      </c>
      <c r="E335">
        <f>IF(B335="","",COUNTIFS($B$2:B335,B335,$D$2:D335,D335))</f>
        <v/>
      </c>
    </row>
    <row r="336">
      <c r="A336">
        <f>IF(B336="","",VLOOKUP(B336,Lists!$A$2:$B$25,2,FALSE)&amp;"-"&amp;D336&amp;"-"&amp;TEXT(E336,"000"))</f>
        <v/>
      </c>
      <c r="E336">
        <f>IF(B336="","",COUNTIFS($B$2:B336,B336,$D$2:D336,D336))</f>
        <v/>
      </c>
    </row>
    <row r="337">
      <c r="A337">
        <f>IF(B337="","",VLOOKUP(B337,Lists!$A$2:$B$25,2,FALSE)&amp;"-"&amp;D337&amp;"-"&amp;TEXT(E337,"000"))</f>
        <v/>
      </c>
      <c r="E337">
        <f>IF(B337="","",COUNTIFS($B$2:B337,B337,$D$2:D337,D337))</f>
        <v/>
      </c>
    </row>
    <row r="338">
      <c r="A338">
        <f>IF(B338="","",VLOOKUP(B338,Lists!$A$2:$B$25,2,FALSE)&amp;"-"&amp;D338&amp;"-"&amp;TEXT(E338,"000"))</f>
        <v/>
      </c>
      <c r="E338">
        <f>IF(B338="","",COUNTIFS($B$2:B338,B338,$D$2:D338,D338))</f>
        <v/>
      </c>
    </row>
    <row r="339">
      <c r="A339">
        <f>IF(B339="","",VLOOKUP(B339,Lists!$A$2:$B$25,2,FALSE)&amp;"-"&amp;D339&amp;"-"&amp;TEXT(E339,"000"))</f>
        <v/>
      </c>
      <c r="E339">
        <f>IF(B339="","",COUNTIFS($B$2:B339,B339,$D$2:D339,D339))</f>
        <v/>
      </c>
    </row>
    <row r="340">
      <c r="A340">
        <f>IF(B340="","",VLOOKUP(B340,Lists!$A$2:$B$25,2,FALSE)&amp;"-"&amp;D340&amp;"-"&amp;TEXT(E340,"000"))</f>
        <v/>
      </c>
      <c r="E340">
        <f>IF(B340="","",COUNTIFS($B$2:B340,B340,$D$2:D340,D340))</f>
        <v/>
      </c>
    </row>
    <row r="341">
      <c r="A341">
        <f>IF(B341="","",VLOOKUP(B341,Lists!$A$2:$B$25,2,FALSE)&amp;"-"&amp;D341&amp;"-"&amp;TEXT(E341,"000"))</f>
        <v/>
      </c>
      <c r="E341">
        <f>IF(B341="","",COUNTIFS($B$2:B341,B341,$D$2:D341,D341))</f>
        <v/>
      </c>
    </row>
    <row r="342">
      <c r="A342">
        <f>IF(B342="","",VLOOKUP(B342,Lists!$A$2:$B$25,2,FALSE)&amp;"-"&amp;D342&amp;"-"&amp;TEXT(E342,"000"))</f>
        <v/>
      </c>
      <c r="E342">
        <f>IF(B342="","",COUNTIFS($B$2:B342,B342,$D$2:D342,D342))</f>
        <v/>
      </c>
    </row>
    <row r="343">
      <c r="A343">
        <f>IF(B343="","",VLOOKUP(B343,Lists!$A$2:$B$25,2,FALSE)&amp;"-"&amp;D343&amp;"-"&amp;TEXT(E343,"000"))</f>
        <v/>
      </c>
      <c r="E343">
        <f>IF(B343="","",COUNTIFS($B$2:B343,B343,$D$2:D343,D343))</f>
        <v/>
      </c>
    </row>
    <row r="344">
      <c r="A344">
        <f>IF(B344="","",VLOOKUP(B344,Lists!$A$2:$B$25,2,FALSE)&amp;"-"&amp;D344&amp;"-"&amp;TEXT(E344,"000"))</f>
        <v/>
      </c>
      <c r="E344">
        <f>IF(B344="","",COUNTIFS($B$2:B344,B344,$D$2:D344,D344))</f>
        <v/>
      </c>
    </row>
    <row r="345">
      <c r="A345">
        <f>IF(B345="","",VLOOKUP(B345,Lists!$A$2:$B$25,2,FALSE)&amp;"-"&amp;D345&amp;"-"&amp;TEXT(E345,"000"))</f>
        <v/>
      </c>
      <c r="E345">
        <f>IF(B345="","",COUNTIFS($B$2:B345,B345,$D$2:D345,D345))</f>
        <v/>
      </c>
    </row>
    <row r="346">
      <c r="A346">
        <f>IF(B346="","",VLOOKUP(B346,Lists!$A$2:$B$25,2,FALSE)&amp;"-"&amp;D346&amp;"-"&amp;TEXT(E346,"000"))</f>
        <v/>
      </c>
      <c r="E346">
        <f>IF(B346="","",COUNTIFS($B$2:B346,B346,$D$2:D346,D346))</f>
        <v/>
      </c>
    </row>
    <row r="347">
      <c r="A347">
        <f>IF(B347="","",VLOOKUP(B347,Lists!$A$2:$B$25,2,FALSE)&amp;"-"&amp;D347&amp;"-"&amp;TEXT(E347,"000"))</f>
        <v/>
      </c>
      <c r="E347">
        <f>IF(B347="","",COUNTIFS($B$2:B347,B347,$D$2:D347,D347))</f>
        <v/>
      </c>
    </row>
    <row r="348">
      <c r="A348">
        <f>IF(B348="","",VLOOKUP(B348,Lists!$A$2:$B$25,2,FALSE)&amp;"-"&amp;D348&amp;"-"&amp;TEXT(E348,"000"))</f>
        <v/>
      </c>
      <c r="E348">
        <f>IF(B348="","",COUNTIFS($B$2:B348,B348,$D$2:D348,D348))</f>
        <v/>
      </c>
    </row>
    <row r="349">
      <c r="A349">
        <f>IF(B349="","",VLOOKUP(B349,Lists!$A$2:$B$25,2,FALSE)&amp;"-"&amp;D349&amp;"-"&amp;TEXT(E349,"000"))</f>
        <v/>
      </c>
      <c r="E349">
        <f>IF(B349="","",COUNTIFS($B$2:B349,B349,$D$2:D349,D349))</f>
        <v/>
      </c>
    </row>
    <row r="350">
      <c r="A350">
        <f>IF(B350="","",VLOOKUP(B350,Lists!$A$2:$B$25,2,FALSE)&amp;"-"&amp;D350&amp;"-"&amp;TEXT(E350,"000"))</f>
        <v/>
      </c>
      <c r="E350">
        <f>IF(B350="","",COUNTIFS($B$2:B350,B350,$D$2:D350,D350))</f>
        <v/>
      </c>
    </row>
    <row r="351">
      <c r="A351">
        <f>IF(B351="","",VLOOKUP(B351,Lists!$A$2:$B$25,2,FALSE)&amp;"-"&amp;D351&amp;"-"&amp;TEXT(E351,"000"))</f>
        <v/>
      </c>
      <c r="E351">
        <f>IF(B351="","",COUNTIFS($B$2:B351,B351,$D$2:D351,D351))</f>
        <v/>
      </c>
    </row>
    <row r="352">
      <c r="A352">
        <f>IF(B352="","",VLOOKUP(B352,Lists!$A$2:$B$25,2,FALSE)&amp;"-"&amp;D352&amp;"-"&amp;TEXT(E352,"000"))</f>
        <v/>
      </c>
      <c r="E352">
        <f>IF(B352="","",COUNTIFS($B$2:B352,B352,$D$2:D352,D352))</f>
        <v/>
      </c>
    </row>
    <row r="353">
      <c r="A353">
        <f>IF(B353="","",VLOOKUP(B353,Lists!$A$2:$B$25,2,FALSE)&amp;"-"&amp;D353&amp;"-"&amp;TEXT(E353,"000"))</f>
        <v/>
      </c>
      <c r="E353">
        <f>IF(B353="","",COUNTIFS($B$2:B353,B353,$D$2:D353,D353))</f>
        <v/>
      </c>
    </row>
    <row r="354">
      <c r="A354">
        <f>IF(B354="","",VLOOKUP(B354,Lists!$A$2:$B$25,2,FALSE)&amp;"-"&amp;D354&amp;"-"&amp;TEXT(E354,"000"))</f>
        <v/>
      </c>
      <c r="E354">
        <f>IF(B354="","",COUNTIFS($B$2:B354,B354,$D$2:D354,D354))</f>
        <v/>
      </c>
    </row>
    <row r="355">
      <c r="A355">
        <f>IF(B355="","",VLOOKUP(B355,Lists!$A$2:$B$25,2,FALSE)&amp;"-"&amp;D355&amp;"-"&amp;TEXT(E355,"000"))</f>
        <v/>
      </c>
      <c r="E355">
        <f>IF(B355="","",COUNTIFS($B$2:B355,B355,$D$2:D355,D355))</f>
        <v/>
      </c>
    </row>
    <row r="356">
      <c r="A356">
        <f>IF(B356="","",VLOOKUP(B356,Lists!$A$2:$B$25,2,FALSE)&amp;"-"&amp;D356&amp;"-"&amp;TEXT(E356,"000"))</f>
        <v/>
      </c>
      <c r="E356">
        <f>IF(B356="","",COUNTIFS($B$2:B356,B356,$D$2:D356,D356))</f>
        <v/>
      </c>
    </row>
    <row r="357">
      <c r="A357">
        <f>IF(B357="","",VLOOKUP(B357,Lists!$A$2:$B$25,2,FALSE)&amp;"-"&amp;D357&amp;"-"&amp;TEXT(E357,"000"))</f>
        <v/>
      </c>
      <c r="E357">
        <f>IF(B357="","",COUNTIFS($B$2:B357,B357,$D$2:D357,D357))</f>
        <v/>
      </c>
    </row>
    <row r="358">
      <c r="A358">
        <f>IF(B358="","",VLOOKUP(B358,Lists!$A$2:$B$25,2,FALSE)&amp;"-"&amp;D358&amp;"-"&amp;TEXT(E358,"000"))</f>
        <v/>
      </c>
      <c r="E358">
        <f>IF(B358="","",COUNTIFS($B$2:B358,B358,$D$2:D358,D358))</f>
        <v/>
      </c>
    </row>
    <row r="359">
      <c r="A359">
        <f>IF(B359="","",VLOOKUP(B359,Lists!$A$2:$B$25,2,FALSE)&amp;"-"&amp;D359&amp;"-"&amp;TEXT(E359,"000"))</f>
        <v/>
      </c>
      <c r="E359">
        <f>IF(B359="","",COUNTIFS($B$2:B359,B359,$D$2:D359,D359))</f>
        <v/>
      </c>
    </row>
    <row r="360">
      <c r="A360">
        <f>IF(B360="","",VLOOKUP(B360,Lists!$A$2:$B$25,2,FALSE)&amp;"-"&amp;D360&amp;"-"&amp;TEXT(E360,"000"))</f>
        <v/>
      </c>
      <c r="E360">
        <f>IF(B360="","",COUNTIFS($B$2:B360,B360,$D$2:D360,D360))</f>
        <v/>
      </c>
    </row>
    <row r="361">
      <c r="A361">
        <f>IF(B361="","",VLOOKUP(B361,Lists!$A$2:$B$25,2,FALSE)&amp;"-"&amp;D361&amp;"-"&amp;TEXT(E361,"000"))</f>
        <v/>
      </c>
      <c r="E361">
        <f>IF(B361="","",COUNTIFS($B$2:B361,B361,$D$2:D361,D361))</f>
        <v/>
      </c>
    </row>
    <row r="362">
      <c r="A362">
        <f>IF(B362="","",VLOOKUP(B362,Lists!$A$2:$B$25,2,FALSE)&amp;"-"&amp;D362&amp;"-"&amp;TEXT(E362,"000"))</f>
        <v/>
      </c>
      <c r="E362">
        <f>IF(B362="","",COUNTIFS($B$2:B362,B362,$D$2:D362,D362))</f>
        <v/>
      </c>
    </row>
    <row r="363">
      <c r="A363">
        <f>IF(B363="","",VLOOKUP(B363,Lists!$A$2:$B$25,2,FALSE)&amp;"-"&amp;D363&amp;"-"&amp;TEXT(E363,"000"))</f>
        <v/>
      </c>
      <c r="E363">
        <f>IF(B363="","",COUNTIFS($B$2:B363,B363,$D$2:D363,D363))</f>
        <v/>
      </c>
    </row>
    <row r="364">
      <c r="A364">
        <f>IF(B364="","",VLOOKUP(B364,Lists!$A$2:$B$25,2,FALSE)&amp;"-"&amp;D364&amp;"-"&amp;TEXT(E364,"000"))</f>
        <v/>
      </c>
      <c r="E364">
        <f>IF(B364="","",COUNTIFS($B$2:B364,B364,$D$2:D364,D364))</f>
        <v/>
      </c>
    </row>
    <row r="365">
      <c r="A365">
        <f>IF(B365="","",VLOOKUP(B365,Lists!$A$2:$B$25,2,FALSE)&amp;"-"&amp;D365&amp;"-"&amp;TEXT(E365,"000"))</f>
        <v/>
      </c>
      <c r="E365">
        <f>IF(B365="","",COUNTIFS($B$2:B365,B365,$D$2:D365,D365))</f>
        <v/>
      </c>
    </row>
    <row r="366">
      <c r="A366">
        <f>IF(B366="","",VLOOKUP(B366,Lists!$A$2:$B$25,2,FALSE)&amp;"-"&amp;D366&amp;"-"&amp;TEXT(E366,"000"))</f>
        <v/>
      </c>
      <c r="E366">
        <f>IF(B366="","",COUNTIFS($B$2:B366,B366,$D$2:D366,D366))</f>
        <v/>
      </c>
    </row>
    <row r="367">
      <c r="A367">
        <f>IF(B367="","",VLOOKUP(B367,Lists!$A$2:$B$25,2,FALSE)&amp;"-"&amp;D367&amp;"-"&amp;TEXT(E367,"000"))</f>
        <v/>
      </c>
      <c r="E367">
        <f>IF(B367="","",COUNTIFS($B$2:B367,B367,$D$2:D367,D367))</f>
        <v/>
      </c>
    </row>
    <row r="368">
      <c r="A368">
        <f>IF(B368="","",VLOOKUP(B368,Lists!$A$2:$B$25,2,FALSE)&amp;"-"&amp;D368&amp;"-"&amp;TEXT(E368,"000"))</f>
        <v/>
      </c>
      <c r="E368">
        <f>IF(B368="","",COUNTIFS($B$2:B368,B368,$D$2:D368,D368))</f>
        <v/>
      </c>
    </row>
    <row r="369">
      <c r="A369">
        <f>IF(B369="","",VLOOKUP(B369,Lists!$A$2:$B$25,2,FALSE)&amp;"-"&amp;D369&amp;"-"&amp;TEXT(E369,"000"))</f>
        <v/>
      </c>
      <c r="E369">
        <f>IF(B369="","",COUNTIFS($B$2:B369,B369,$D$2:D369,D369))</f>
        <v/>
      </c>
    </row>
    <row r="370">
      <c r="A370">
        <f>IF(B370="","",VLOOKUP(B370,Lists!$A$2:$B$25,2,FALSE)&amp;"-"&amp;D370&amp;"-"&amp;TEXT(E370,"000"))</f>
        <v/>
      </c>
      <c r="E370">
        <f>IF(B370="","",COUNTIFS($B$2:B370,B370,$D$2:D370,D370))</f>
        <v/>
      </c>
    </row>
    <row r="371">
      <c r="A371">
        <f>IF(B371="","",VLOOKUP(B371,Lists!$A$2:$B$25,2,FALSE)&amp;"-"&amp;D371&amp;"-"&amp;TEXT(E371,"000"))</f>
        <v/>
      </c>
      <c r="E371">
        <f>IF(B371="","",COUNTIFS($B$2:B371,B371,$D$2:D371,D371))</f>
        <v/>
      </c>
    </row>
    <row r="372">
      <c r="A372">
        <f>IF(B372="","",VLOOKUP(B372,Lists!$A$2:$B$25,2,FALSE)&amp;"-"&amp;D372&amp;"-"&amp;TEXT(E372,"000"))</f>
        <v/>
      </c>
      <c r="E372">
        <f>IF(B372="","",COUNTIFS($B$2:B372,B372,$D$2:D372,D372))</f>
        <v/>
      </c>
    </row>
    <row r="373">
      <c r="A373">
        <f>IF(B373="","",VLOOKUP(B373,Lists!$A$2:$B$25,2,FALSE)&amp;"-"&amp;D373&amp;"-"&amp;TEXT(E373,"000"))</f>
        <v/>
      </c>
      <c r="E373">
        <f>IF(B373="","",COUNTIFS($B$2:B373,B373,$D$2:D373,D373))</f>
        <v/>
      </c>
    </row>
    <row r="374">
      <c r="A374">
        <f>IF(B374="","",VLOOKUP(B374,Lists!$A$2:$B$25,2,FALSE)&amp;"-"&amp;D374&amp;"-"&amp;TEXT(E374,"000"))</f>
        <v/>
      </c>
      <c r="E374">
        <f>IF(B374="","",COUNTIFS($B$2:B374,B374,$D$2:D374,D374))</f>
        <v/>
      </c>
    </row>
    <row r="375">
      <c r="A375">
        <f>IF(B375="","",VLOOKUP(B375,Lists!$A$2:$B$25,2,FALSE)&amp;"-"&amp;D375&amp;"-"&amp;TEXT(E375,"000"))</f>
        <v/>
      </c>
      <c r="E375">
        <f>IF(B375="","",COUNTIFS($B$2:B375,B375,$D$2:D375,D375))</f>
        <v/>
      </c>
    </row>
    <row r="376">
      <c r="A376">
        <f>IF(B376="","",VLOOKUP(B376,Lists!$A$2:$B$25,2,FALSE)&amp;"-"&amp;D376&amp;"-"&amp;TEXT(E376,"000"))</f>
        <v/>
      </c>
      <c r="E376">
        <f>IF(B376="","",COUNTIFS($B$2:B376,B376,$D$2:D376,D376))</f>
        <v/>
      </c>
    </row>
    <row r="377">
      <c r="A377">
        <f>IF(B377="","",VLOOKUP(B377,Lists!$A$2:$B$25,2,FALSE)&amp;"-"&amp;D377&amp;"-"&amp;TEXT(E377,"000"))</f>
        <v/>
      </c>
      <c r="E377">
        <f>IF(B377="","",COUNTIFS($B$2:B377,B377,$D$2:D377,D377))</f>
        <v/>
      </c>
    </row>
    <row r="378">
      <c r="A378">
        <f>IF(B378="","",VLOOKUP(B378,Lists!$A$2:$B$25,2,FALSE)&amp;"-"&amp;D378&amp;"-"&amp;TEXT(E378,"000"))</f>
        <v/>
      </c>
      <c r="E378">
        <f>IF(B378="","",COUNTIFS($B$2:B378,B378,$D$2:D378,D378))</f>
        <v/>
      </c>
    </row>
    <row r="379">
      <c r="A379">
        <f>IF(B379="","",VLOOKUP(B379,Lists!$A$2:$B$25,2,FALSE)&amp;"-"&amp;D379&amp;"-"&amp;TEXT(E379,"000"))</f>
        <v/>
      </c>
      <c r="E379">
        <f>IF(B379="","",COUNTIFS($B$2:B379,B379,$D$2:D379,D379))</f>
        <v/>
      </c>
    </row>
    <row r="380">
      <c r="A380">
        <f>IF(B380="","",VLOOKUP(B380,Lists!$A$2:$B$25,2,FALSE)&amp;"-"&amp;D380&amp;"-"&amp;TEXT(E380,"000"))</f>
        <v/>
      </c>
      <c r="E380">
        <f>IF(B380="","",COUNTIFS($B$2:B380,B380,$D$2:D380,D380))</f>
        <v/>
      </c>
    </row>
    <row r="381">
      <c r="A381">
        <f>IF(B381="","",VLOOKUP(B381,Lists!$A$2:$B$25,2,FALSE)&amp;"-"&amp;D381&amp;"-"&amp;TEXT(E381,"000"))</f>
        <v/>
      </c>
      <c r="E381">
        <f>IF(B381="","",COUNTIFS($B$2:B381,B381,$D$2:D381,D381))</f>
        <v/>
      </c>
    </row>
    <row r="382">
      <c r="A382">
        <f>IF(B382="","",VLOOKUP(B382,Lists!$A$2:$B$25,2,FALSE)&amp;"-"&amp;D382&amp;"-"&amp;TEXT(E382,"000"))</f>
        <v/>
      </c>
      <c r="E382">
        <f>IF(B382="","",COUNTIFS($B$2:B382,B382,$D$2:D382,D382))</f>
        <v/>
      </c>
    </row>
    <row r="383">
      <c r="A383">
        <f>IF(B383="","",VLOOKUP(B383,Lists!$A$2:$B$25,2,FALSE)&amp;"-"&amp;D383&amp;"-"&amp;TEXT(E383,"000"))</f>
        <v/>
      </c>
      <c r="E383">
        <f>IF(B383="","",COUNTIFS($B$2:B383,B383,$D$2:D383,D383))</f>
        <v/>
      </c>
    </row>
    <row r="384">
      <c r="A384">
        <f>IF(B384="","",VLOOKUP(B384,Lists!$A$2:$B$25,2,FALSE)&amp;"-"&amp;D384&amp;"-"&amp;TEXT(E384,"000"))</f>
        <v/>
      </c>
      <c r="E384">
        <f>IF(B384="","",COUNTIFS($B$2:B384,B384,$D$2:D384,D384))</f>
        <v/>
      </c>
    </row>
    <row r="385">
      <c r="A385">
        <f>IF(B385="","",VLOOKUP(B385,Lists!$A$2:$B$25,2,FALSE)&amp;"-"&amp;D385&amp;"-"&amp;TEXT(E385,"000"))</f>
        <v/>
      </c>
      <c r="E385">
        <f>IF(B385="","",COUNTIFS($B$2:B385,B385,$D$2:D385,D385))</f>
        <v/>
      </c>
    </row>
    <row r="386">
      <c r="A386">
        <f>IF(B386="","",VLOOKUP(B386,Lists!$A$2:$B$25,2,FALSE)&amp;"-"&amp;D386&amp;"-"&amp;TEXT(E386,"000"))</f>
        <v/>
      </c>
      <c r="E386">
        <f>IF(B386="","",COUNTIFS($B$2:B386,B386,$D$2:D386,D386))</f>
        <v/>
      </c>
    </row>
    <row r="387">
      <c r="A387">
        <f>IF(B387="","",VLOOKUP(B387,Lists!$A$2:$B$25,2,FALSE)&amp;"-"&amp;D387&amp;"-"&amp;TEXT(E387,"000"))</f>
        <v/>
      </c>
      <c r="E387">
        <f>IF(B387="","",COUNTIFS($B$2:B387,B387,$D$2:D387,D387))</f>
        <v/>
      </c>
    </row>
    <row r="388">
      <c r="A388">
        <f>IF(B388="","",VLOOKUP(B388,Lists!$A$2:$B$25,2,FALSE)&amp;"-"&amp;D388&amp;"-"&amp;TEXT(E388,"000"))</f>
        <v/>
      </c>
      <c r="E388">
        <f>IF(B388="","",COUNTIFS($B$2:B388,B388,$D$2:D388,D388))</f>
        <v/>
      </c>
    </row>
    <row r="389">
      <c r="A389">
        <f>IF(B389="","",VLOOKUP(B389,Lists!$A$2:$B$25,2,FALSE)&amp;"-"&amp;D389&amp;"-"&amp;TEXT(E389,"000"))</f>
        <v/>
      </c>
      <c r="E389">
        <f>IF(B389="","",COUNTIFS($B$2:B389,B389,$D$2:D389,D389))</f>
        <v/>
      </c>
    </row>
    <row r="390">
      <c r="A390">
        <f>IF(B390="","",VLOOKUP(B390,Lists!$A$2:$B$25,2,FALSE)&amp;"-"&amp;D390&amp;"-"&amp;TEXT(E390,"000"))</f>
        <v/>
      </c>
      <c r="E390">
        <f>IF(B390="","",COUNTIFS($B$2:B390,B390,$D$2:D390,D390))</f>
        <v/>
      </c>
    </row>
    <row r="391">
      <c r="A391">
        <f>IF(B391="","",VLOOKUP(B391,Lists!$A$2:$B$25,2,FALSE)&amp;"-"&amp;D391&amp;"-"&amp;TEXT(E391,"000"))</f>
        <v/>
      </c>
      <c r="E391">
        <f>IF(B391="","",COUNTIFS($B$2:B391,B391,$D$2:D391,D391))</f>
        <v/>
      </c>
    </row>
    <row r="392">
      <c r="A392">
        <f>IF(B392="","",VLOOKUP(B392,Lists!$A$2:$B$25,2,FALSE)&amp;"-"&amp;D392&amp;"-"&amp;TEXT(E392,"000"))</f>
        <v/>
      </c>
      <c r="E392">
        <f>IF(B392="","",COUNTIFS($B$2:B392,B392,$D$2:D392,D392))</f>
        <v/>
      </c>
    </row>
    <row r="393">
      <c r="A393">
        <f>IF(B393="","",VLOOKUP(B393,Lists!$A$2:$B$25,2,FALSE)&amp;"-"&amp;D393&amp;"-"&amp;TEXT(E393,"000"))</f>
        <v/>
      </c>
      <c r="E393">
        <f>IF(B393="","",COUNTIFS($B$2:B393,B393,$D$2:D393,D393))</f>
        <v/>
      </c>
    </row>
    <row r="394">
      <c r="A394">
        <f>IF(B394="","",VLOOKUP(B394,Lists!$A$2:$B$25,2,FALSE)&amp;"-"&amp;D394&amp;"-"&amp;TEXT(E394,"000"))</f>
        <v/>
      </c>
      <c r="E394">
        <f>IF(B394="","",COUNTIFS($B$2:B394,B394,$D$2:D394,D394))</f>
        <v/>
      </c>
    </row>
    <row r="395">
      <c r="A395">
        <f>IF(B395="","",VLOOKUP(B395,Lists!$A$2:$B$25,2,FALSE)&amp;"-"&amp;D395&amp;"-"&amp;TEXT(E395,"000"))</f>
        <v/>
      </c>
      <c r="E395">
        <f>IF(B395="","",COUNTIFS($B$2:B395,B395,$D$2:D395,D395))</f>
        <v/>
      </c>
    </row>
    <row r="396">
      <c r="A396">
        <f>IF(B396="","",VLOOKUP(B396,Lists!$A$2:$B$25,2,FALSE)&amp;"-"&amp;D396&amp;"-"&amp;TEXT(E396,"000"))</f>
        <v/>
      </c>
      <c r="E396">
        <f>IF(B396="","",COUNTIFS($B$2:B396,B396,$D$2:D396,D396))</f>
        <v/>
      </c>
    </row>
    <row r="397">
      <c r="A397">
        <f>IF(B397="","",VLOOKUP(B397,Lists!$A$2:$B$25,2,FALSE)&amp;"-"&amp;D397&amp;"-"&amp;TEXT(E397,"000"))</f>
        <v/>
      </c>
      <c r="E397">
        <f>IF(B397="","",COUNTIFS($B$2:B397,B397,$D$2:D397,D397))</f>
        <v/>
      </c>
    </row>
    <row r="398">
      <c r="A398">
        <f>IF(B398="","",VLOOKUP(B398,Lists!$A$2:$B$25,2,FALSE)&amp;"-"&amp;D398&amp;"-"&amp;TEXT(E398,"000"))</f>
        <v/>
      </c>
      <c r="E398">
        <f>IF(B398="","",COUNTIFS($B$2:B398,B398,$D$2:D398,D398))</f>
        <v/>
      </c>
    </row>
    <row r="399">
      <c r="A399">
        <f>IF(B399="","",VLOOKUP(B399,Lists!$A$2:$B$25,2,FALSE)&amp;"-"&amp;D399&amp;"-"&amp;TEXT(E399,"000"))</f>
        <v/>
      </c>
      <c r="E399">
        <f>IF(B399="","",COUNTIFS($B$2:B399,B399,$D$2:D399,D399))</f>
        <v/>
      </c>
    </row>
    <row r="400">
      <c r="A400">
        <f>IF(B400="","",VLOOKUP(B400,Lists!$A$2:$B$25,2,FALSE)&amp;"-"&amp;D400&amp;"-"&amp;TEXT(E400,"000"))</f>
        <v/>
      </c>
      <c r="E400">
        <f>IF(B400="","",COUNTIFS($B$2:B400,B400,$D$2:D400,D400))</f>
        <v/>
      </c>
    </row>
    <row r="401">
      <c r="A401">
        <f>IF(B401="","",VLOOKUP(B401,Lists!$A$2:$B$25,2,FALSE)&amp;"-"&amp;D401&amp;"-"&amp;TEXT(E401,"000"))</f>
        <v/>
      </c>
      <c r="E401">
        <f>IF(B401="","",COUNTIFS($B$2:B401,B401,$D$2:D401,D401))</f>
        <v/>
      </c>
    </row>
    <row r="402">
      <c r="A402">
        <f>IF(B402="","",VLOOKUP(B402,Lists!$A$2:$B$25,2,FALSE)&amp;"-"&amp;D402&amp;"-"&amp;TEXT(E402,"000"))</f>
        <v/>
      </c>
      <c r="E402">
        <f>IF(B402="","",COUNTIFS($B$2:B402,B402,$D$2:D402,D402))</f>
        <v/>
      </c>
    </row>
    <row r="403">
      <c r="A403">
        <f>IF(B403="","",VLOOKUP(B403,Lists!$A$2:$B$25,2,FALSE)&amp;"-"&amp;D403&amp;"-"&amp;TEXT(E403,"000"))</f>
        <v/>
      </c>
      <c r="E403">
        <f>IF(B403="","",COUNTIFS($B$2:B403,B403,$D$2:D403,D403))</f>
        <v/>
      </c>
    </row>
    <row r="404">
      <c r="A404">
        <f>IF(B404="","",VLOOKUP(B404,Lists!$A$2:$B$25,2,FALSE)&amp;"-"&amp;D404&amp;"-"&amp;TEXT(E404,"000"))</f>
        <v/>
      </c>
      <c r="E404">
        <f>IF(B404="","",COUNTIFS($B$2:B404,B404,$D$2:D404,D404))</f>
        <v/>
      </c>
    </row>
    <row r="405">
      <c r="A405">
        <f>IF(B405="","",VLOOKUP(B405,Lists!$A$2:$B$25,2,FALSE)&amp;"-"&amp;D405&amp;"-"&amp;TEXT(E405,"000"))</f>
        <v/>
      </c>
      <c r="E405">
        <f>IF(B405="","",COUNTIFS($B$2:B405,B405,$D$2:D405,D405))</f>
        <v/>
      </c>
    </row>
    <row r="406">
      <c r="A406">
        <f>IF(B406="","",VLOOKUP(B406,Lists!$A$2:$B$25,2,FALSE)&amp;"-"&amp;D406&amp;"-"&amp;TEXT(E406,"000"))</f>
        <v/>
      </c>
      <c r="E406">
        <f>IF(B406="","",COUNTIFS($B$2:B406,B406,$D$2:D406,D406))</f>
        <v/>
      </c>
    </row>
    <row r="407">
      <c r="A407">
        <f>IF(B407="","",VLOOKUP(B407,Lists!$A$2:$B$25,2,FALSE)&amp;"-"&amp;D407&amp;"-"&amp;TEXT(E407,"000"))</f>
        <v/>
      </c>
      <c r="E407">
        <f>IF(B407="","",COUNTIFS($B$2:B407,B407,$D$2:D407,D407))</f>
        <v/>
      </c>
    </row>
    <row r="408">
      <c r="A408">
        <f>IF(B408="","",VLOOKUP(B408,Lists!$A$2:$B$25,2,FALSE)&amp;"-"&amp;D408&amp;"-"&amp;TEXT(E408,"000"))</f>
        <v/>
      </c>
      <c r="E408">
        <f>IF(B408="","",COUNTIFS($B$2:B408,B408,$D$2:D408,D408))</f>
        <v/>
      </c>
    </row>
    <row r="409">
      <c r="A409">
        <f>IF(B409="","",VLOOKUP(B409,Lists!$A$2:$B$25,2,FALSE)&amp;"-"&amp;D409&amp;"-"&amp;TEXT(E409,"000"))</f>
        <v/>
      </c>
      <c r="E409">
        <f>IF(B409="","",COUNTIFS($B$2:B409,B409,$D$2:D409,D409))</f>
        <v/>
      </c>
    </row>
    <row r="410">
      <c r="A410">
        <f>IF(B410="","",VLOOKUP(B410,Lists!$A$2:$B$25,2,FALSE)&amp;"-"&amp;D410&amp;"-"&amp;TEXT(E410,"000"))</f>
        <v/>
      </c>
      <c r="E410">
        <f>IF(B410="","",COUNTIFS($B$2:B410,B410,$D$2:D410,D410))</f>
        <v/>
      </c>
    </row>
    <row r="411">
      <c r="A411">
        <f>IF(B411="","",VLOOKUP(B411,Lists!$A$2:$B$25,2,FALSE)&amp;"-"&amp;D411&amp;"-"&amp;TEXT(E411,"000"))</f>
        <v/>
      </c>
      <c r="E411">
        <f>IF(B411="","",COUNTIFS($B$2:B411,B411,$D$2:D411,D411))</f>
        <v/>
      </c>
    </row>
    <row r="412">
      <c r="A412">
        <f>IF(B412="","",VLOOKUP(B412,Lists!$A$2:$B$25,2,FALSE)&amp;"-"&amp;D412&amp;"-"&amp;TEXT(E412,"000"))</f>
        <v/>
      </c>
      <c r="E412">
        <f>IF(B412="","",COUNTIFS($B$2:B412,B412,$D$2:D412,D412))</f>
        <v/>
      </c>
    </row>
    <row r="413">
      <c r="A413">
        <f>IF(B413="","",VLOOKUP(B413,Lists!$A$2:$B$25,2,FALSE)&amp;"-"&amp;D413&amp;"-"&amp;TEXT(E413,"000"))</f>
        <v/>
      </c>
      <c r="E413">
        <f>IF(B413="","",COUNTIFS($B$2:B413,B413,$D$2:D413,D413))</f>
        <v/>
      </c>
    </row>
    <row r="414">
      <c r="A414">
        <f>IF(B414="","",VLOOKUP(B414,Lists!$A$2:$B$25,2,FALSE)&amp;"-"&amp;D414&amp;"-"&amp;TEXT(E414,"000"))</f>
        <v/>
      </c>
      <c r="E414">
        <f>IF(B414="","",COUNTIFS($B$2:B414,B414,$D$2:D414,D414))</f>
        <v/>
      </c>
    </row>
    <row r="415">
      <c r="A415">
        <f>IF(B415="","",VLOOKUP(B415,Lists!$A$2:$B$25,2,FALSE)&amp;"-"&amp;D415&amp;"-"&amp;TEXT(E415,"000"))</f>
        <v/>
      </c>
      <c r="E415">
        <f>IF(B415="","",COUNTIFS($B$2:B415,B415,$D$2:D415,D415))</f>
        <v/>
      </c>
    </row>
    <row r="416">
      <c r="A416">
        <f>IF(B416="","",VLOOKUP(B416,Lists!$A$2:$B$25,2,FALSE)&amp;"-"&amp;D416&amp;"-"&amp;TEXT(E416,"000"))</f>
        <v/>
      </c>
      <c r="E416">
        <f>IF(B416="","",COUNTIFS($B$2:B416,B416,$D$2:D416,D416))</f>
        <v/>
      </c>
    </row>
    <row r="417">
      <c r="A417">
        <f>IF(B417="","",VLOOKUP(B417,Lists!$A$2:$B$25,2,FALSE)&amp;"-"&amp;D417&amp;"-"&amp;TEXT(E417,"000"))</f>
        <v/>
      </c>
      <c r="E417">
        <f>IF(B417="","",COUNTIFS($B$2:B417,B417,$D$2:D417,D417))</f>
        <v/>
      </c>
    </row>
    <row r="418">
      <c r="A418">
        <f>IF(B418="","",VLOOKUP(B418,Lists!$A$2:$B$25,2,FALSE)&amp;"-"&amp;D418&amp;"-"&amp;TEXT(E418,"000"))</f>
        <v/>
      </c>
      <c r="E418">
        <f>IF(B418="","",COUNTIFS($B$2:B418,B418,$D$2:D418,D418))</f>
        <v/>
      </c>
    </row>
    <row r="419">
      <c r="A419">
        <f>IF(B419="","",VLOOKUP(B419,Lists!$A$2:$B$25,2,FALSE)&amp;"-"&amp;D419&amp;"-"&amp;TEXT(E419,"000"))</f>
        <v/>
      </c>
      <c r="E419">
        <f>IF(B419="","",COUNTIFS($B$2:B419,B419,$D$2:D419,D419))</f>
        <v/>
      </c>
    </row>
    <row r="420">
      <c r="A420">
        <f>IF(B420="","",VLOOKUP(B420,Lists!$A$2:$B$25,2,FALSE)&amp;"-"&amp;D420&amp;"-"&amp;TEXT(E420,"000"))</f>
        <v/>
      </c>
      <c r="E420">
        <f>IF(B420="","",COUNTIFS($B$2:B420,B420,$D$2:D420,D420))</f>
        <v/>
      </c>
    </row>
    <row r="421">
      <c r="A421">
        <f>IF(B421="","",VLOOKUP(B421,Lists!$A$2:$B$25,2,FALSE)&amp;"-"&amp;D421&amp;"-"&amp;TEXT(E421,"000"))</f>
        <v/>
      </c>
      <c r="E421">
        <f>IF(B421="","",COUNTIFS($B$2:B421,B421,$D$2:D421,D421))</f>
        <v/>
      </c>
    </row>
    <row r="422">
      <c r="A422">
        <f>IF(B422="","",VLOOKUP(B422,Lists!$A$2:$B$25,2,FALSE)&amp;"-"&amp;D422&amp;"-"&amp;TEXT(E422,"000"))</f>
        <v/>
      </c>
      <c r="E422">
        <f>IF(B422="","",COUNTIFS($B$2:B422,B422,$D$2:D422,D422))</f>
        <v/>
      </c>
    </row>
    <row r="423">
      <c r="A423">
        <f>IF(B423="","",VLOOKUP(B423,Lists!$A$2:$B$25,2,FALSE)&amp;"-"&amp;D423&amp;"-"&amp;TEXT(E423,"000"))</f>
        <v/>
      </c>
      <c r="E423">
        <f>IF(B423="","",COUNTIFS($B$2:B423,B423,$D$2:D423,D423))</f>
        <v/>
      </c>
    </row>
    <row r="424">
      <c r="A424">
        <f>IF(B424="","",VLOOKUP(B424,Lists!$A$2:$B$25,2,FALSE)&amp;"-"&amp;D424&amp;"-"&amp;TEXT(E424,"000"))</f>
        <v/>
      </c>
      <c r="E424">
        <f>IF(B424="","",COUNTIFS($B$2:B424,B424,$D$2:D424,D424))</f>
        <v/>
      </c>
    </row>
    <row r="425">
      <c r="A425">
        <f>IF(B425="","",VLOOKUP(B425,Lists!$A$2:$B$25,2,FALSE)&amp;"-"&amp;D425&amp;"-"&amp;TEXT(E425,"000"))</f>
        <v/>
      </c>
      <c r="E425">
        <f>IF(B425="","",COUNTIFS($B$2:B425,B425,$D$2:D425,D425))</f>
        <v/>
      </c>
    </row>
    <row r="426">
      <c r="A426">
        <f>IF(B426="","",VLOOKUP(B426,Lists!$A$2:$B$25,2,FALSE)&amp;"-"&amp;D426&amp;"-"&amp;TEXT(E426,"000"))</f>
        <v/>
      </c>
      <c r="E426">
        <f>IF(B426="","",COUNTIFS($B$2:B426,B426,$D$2:D426,D426))</f>
        <v/>
      </c>
    </row>
    <row r="427">
      <c r="A427">
        <f>IF(B427="","",VLOOKUP(B427,Lists!$A$2:$B$25,2,FALSE)&amp;"-"&amp;D427&amp;"-"&amp;TEXT(E427,"000"))</f>
        <v/>
      </c>
      <c r="E427">
        <f>IF(B427="","",COUNTIFS($B$2:B427,B427,$D$2:D427,D427))</f>
        <v/>
      </c>
    </row>
    <row r="428">
      <c r="A428">
        <f>IF(B428="","",VLOOKUP(B428,Lists!$A$2:$B$25,2,FALSE)&amp;"-"&amp;D428&amp;"-"&amp;TEXT(E428,"000"))</f>
        <v/>
      </c>
      <c r="E428">
        <f>IF(B428="","",COUNTIFS($B$2:B428,B428,$D$2:D428,D428))</f>
        <v/>
      </c>
    </row>
    <row r="429">
      <c r="A429">
        <f>IF(B429="","",VLOOKUP(B429,Lists!$A$2:$B$25,2,FALSE)&amp;"-"&amp;D429&amp;"-"&amp;TEXT(E429,"000"))</f>
        <v/>
      </c>
      <c r="E429">
        <f>IF(B429="","",COUNTIFS($B$2:B429,B429,$D$2:D429,D429))</f>
        <v/>
      </c>
    </row>
    <row r="430">
      <c r="A430">
        <f>IF(B430="","",VLOOKUP(B430,Lists!$A$2:$B$25,2,FALSE)&amp;"-"&amp;D430&amp;"-"&amp;TEXT(E430,"000"))</f>
        <v/>
      </c>
      <c r="E430">
        <f>IF(B430="","",COUNTIFS($B$2:B430,B430,$D$2:D430,D430))</f>
        <v/>
      </c>
    </row>
    <row r="431">
      <c r="A431">
        <f>IF(B431="","",VLOOKUP(B431,Lists!$A$2:$B$25,2,FALSE)&amp;"-"&amp;D431&amp;"-"&amp;TEXT(E431,"000"))</f>
        <v/>
      </c>
      <c r="E431">
        <f>IF(B431="","",COUNTIFS($B$2:B431,B431,$D$2:D431,D431))</f>
        <v/>
      </c>
    </row>
    <row r="432">
      <c r="A432">
        <f>IF(B432="","",VLOOKUP(B432,Lists!$A$2:$B$25,2,FALSE)&amp;"-"&amp;D432&amp;"-"&amp;TEXT(E432,"000"))</f>
        <v/>
      </c>
      <c r="E432">
        <f>IF(B432="","",COUNTIFS($B$2:B432,B432,$D$2:D432,D432))</f>
        <v/>
      </c>
    </row>
    <row r="433">
      <c r="A433">
        <f>IF(B433="","",VLOOKUP(B433,Lists!$A$2:$B$25,2,FALSE)&amp;"-"&amp;D433&amp;"-"&amp;TEXT(E433,"000"))</f>
        <v/>
      </c>
      <c r="E433">
        <f>IF(B433="","",COUNTIFS($B$2:B433,B433,$D$2:D433,D433))</f>
        <v/>
      </c>
    </row>
    <row r="434">
      <c r="A434">
        <f>IF(B434="","",VLOOKUP(B434,Lists!$A$2:$B$25,2,FALSE)&amp;"-"&amp;D434&amp;"-"&amp;TEXT(E434,"000"))</f>
        <v/>
      </c>
      <c r="E434">
        <f>IF(B434="","",COUNTIFS($B$2:B434,B434,$D$2:D434,D434))</f>
        <v/>
      </c>
    </row>
    <row r="435">
      <c r="A435">
        <f>IF(B435="","",VLOOKUP(B435,Lists!$A$2:$B$25,2,FALSE)&amp;"-"&amp;D435&amp;"-"&amp;TEXT(E435,"000"))</f>
        <v/>
      </c>
      <c r="E435">
        <f>IF(B435="","",COUNTIFS($B$2:B435,B435,$D$2:D435,D435))</f>
        <v/>
      </c>
    </row>
    <row r="436">
      <c r="A436">
        <f>IF(B436="","",VLOOKUP(B436,Lists!$A$2:$B$25,2,FALSE)&amp;"-"&amp;D436&amp;"-"&amp;TEXT(E436,"000"))</f>
        <v/>
      </c>
      <c r="E436">
        <f>IF(B436="","",COUNTIFS($B$2:B436,B436,$D$2:D436,D436))</f>
        <v/>
      </c>
    </row>
    <row r="437">
      <c r="A437">
        <f>IF(B437="","",VLOOKUP(B437,Lists!$A$2:$B$25,2,FALSE)&amp;"-"&amp;D437&amp;"-"&amp;TEXT(E437,"000"))</f>
        <v/>
      </c>
      <c r="E437">
        <f>IF(B437="","",COUNTIFS($B$2:B437,B437,$D$2:D437,D437))</f>
        <v/>
      </c>
    </row>
    <row r="438">
      <c r="A438">
        <f>IF(B438="","",VLOOKUP(B438,Lists!$A$2:$B$25,2,FALSE)&amp;"-"&amp;D438&amp;"-"&amp;TEXT(E438,"000"))</f>
        <v/>
      </c>
      <c r="E438">
        <f>IF(B438="","",COUNTIFS($B$2:B438,B438,$D$2:D438,D438))</f>
        <v/>
      </c>
    </row>
    <row r="439">
      <c r="A439">
        <f>IF(B439="","",VLOOKUP(B439,Lists!$A$2:$B$25,2,FALSE)&amp;"-"&amp;D439&amp;"-"&amp;TEXT(E439,"000"))</f>
        <v/>
      </c>
      <c r="E439">
        <f>IF(B439="","",COUNTIFS($B$2:B439,B439,$D$2:D439,D439))</f>
        <v/>
      </c>
    </row>
    <row r="440">
      <c r="A440">
        <f>IF(B440="","",VLOOKUP(B440,Lists!$A$2:$B$25,2,FALSE)&amp;"-"&amp;D440&amp;"-"&amp;TEXT(E440,"000"))</f>
        <v/>
      </c>
      <c r="E440">
        <f>IF(B440="","",COUNTIFS($B$2:B440,B440,$D$2:D440,D440))</f>
        <v/>
      </c>
    </row>
    <row r="441">
      <c r="A441">
        <f>IF(B441="","",VLOOKUP(B441,Lists!$A$2:$B$25,2,FALSE)&amp;"-"&amp;D441&amp;"-"&amp;TEXT(E441,"000"))</f>
        <v/>
      </c>
      <c r="E441">
        <f>IF(B441="","",COUNTIFS($B$2:B441,B441,$D$2:D441,D441))</f>
        <v/>
      </c>
    </row>
    <row r="442">
      <c r="A442">
        <f>IF(B442="","",VLOOKUP(B442,Lists!$A$2:$B$25,2,FALSE)&amp;"-"&amp;D442&amp;"-"&amp;TEXT(E442,"000"))</f>
        <v/>
      </c>
      <c r="E442">
        <f>IF(B442="","",COUNTIFS($B$2:B442,B442,$D$2:D442,D442))</f>
        <v/>
      </c>
    </row>
    <row r="443">
      <c r="A443">
        <f>IF(B443="","",VLOOKUP(B443,Lists!$A$2:$B$25,2,FALSE)&amp;"-"&amp;D443&amp;"-"&amp;TEXT(E443,"000"))</f>
        <v/>
      </c>
      <c r="E443">
        <f>IF(B443="","",COUNTIFS($B$2:B443,B443,$D$2:D443,D443))</f>
        <v/>
      </c>
    </row>
    <row r="444">
      <c r="A444">
        <f>IF(B444="","",VLOOKUP(B444,Lists!$A$2:$B$25,2,FALSE)&amp;"-"&amp;D444&amp;"-"&amp;TEXT(E444,"000"))</f>
        <v/>
      </c>
      <c r="E444">
        <f>IF(B444="","",COUNTIFS($B$2:B444,B444,$D$2:D444,D444))</f>
        <v/>
      </c>
    </row>
    <row r="445">
      <c r="A445">
        <f>IF(B445="","",VLOOKUP(B445,Lists!$A$2:$B$25,2,FALSE)&amp;"-"&amp;D445&amp;"-"&amp;TEXT(E445,"000"))</f>
        <v/>
      </c>
      <c r="E445">
        <f>IF(B445="","",COUNTIFS($B$2:B445,B445,$D$2:D445,D445))</f>
        <v/>
      </c>
    </row>
    <row r="446">
      <c r="A446">
        <f>IF(B446="","",VLOOKUP(B446,Lists!$A$2:$B$25,2,FALSE)&amp;"-"&amp;D446&amp;"-"&amp;TEXT(E446,"000"))</f>
        <v/>
      </c>
      <c r="E446">
        <f>IF(B446="","",COUNTIFS($B$2:B446,B446,$D$2:D446,D446))</f>
        <v/>
      </c>
    </row>
    <row r="447">
      <c r="A447">
        <f>IF(B447="","",VLOOKUP(B447,Lists!$A$2:$B$25,2,FALSE)&amp;"-"&amp;D447&amp;"-"&amp;TEXT(E447,"000"))</f>
        <v/>
      </c>
      <c r="E447">
        <f>IF(B447="","",COUNTIFS($B$2:B447,B447,$D$2:D447,D447))</f>
        <v/>
      </c>
    </row>
    <row r="448">
      <c r="A448">
        <f>IF(B448="","",VLOOKUP(B448,Lists!$A$2:$B$25,2,FALSE)&amp;"-"&amp;D448&amp;"-"&amp;TEXT(E448,"000"))</f>
        <v/>
      </c>
      <c r="E448">
        <f>IF(B448="","",COUNTIFS($B$2:B448,B448,$D$2:D448,D448))</f>
        <v/>
      </c>
    </row>
    <row r="449">
      <c r="A449">
        <f>IF(B449="","",VLOOKUP(B449,Lists!$A$2:$B$25,2,FALSE)&amp;"-"&amp;D449&amp;"-"&amp;TEXT(E449,"000"))</f>
        <v/>
      </c>
      <c r="E449">
        <f>IF(B449="","",COUNTIFS($B$2:B449,B449,$D$2:D449,D449))</f>
        <v/>
      </c>
    </row>
    <row r="450">
      <c r="A450">
        <f>IF(B450="","",VLOOKUP(B450,Lists!$A$2:$B$25,2,FALSE)&amp;"-"&amp;D450&amp;"-"&amp;TEXT(E450,"000"))</f>
        <v/>
      </c>
      <c r="E450">
        <f>IF(B450="","",COUNTIFS($B$2:B450,B450,$D$2:D450,D450))</f>
        <v/>
      </c>
    </row>
    <row r="451">
      <c r="A451">
        <f>IF(B451="","",VLOOKUP(B451,Lists!$A$2:$B$25,2,FALSE)&amp;"-"&amp;D451&amp;"-"&amp;TEXT(E451,"000"))</f>
        <v/>
      </c>
      <c r="E451">
        <f>IF(B451="","",COUNTIFS($B$2:B451,B451,$D$2:D451,D451))</f>
        <v/>
      </c>
    </row>
    <row r="452">
      <c r="A452">
        <f>IF(B452="","",VLOOKUP(B452,Lists!$A$2:$B$25,2,FALSE)&amp;"-"&amp;D452&amp;"-"&amp;TEXT(E452,"000"))</f>
        <v/>
      </c>
      <c r="E452">
        <f>IF(B452="","",COUNTIFS($B$2:B452,B452,$D$2:D452,D452))</f>
        <v/>
      </c>
    </row>
    <row r="453">
      <c r="A453">
        <f>IF(B453="","",VLOOKUP(B453,Lists!$A$2:$B$25,2,FALSE)&amp;"-"&amp;D453&amp;"-"&amp;TEXT(E453,"000"))</f>
        <v/>
      </c>
      <c r="E453">
        <f>IF(B453="","",COUNTIFS($B$2:B453,B453,$D$2:D453,D453))</f>
        <v/>
      </c>
    </row>
    <row r="454">
      <c r="A454">
        <f>IF(B454="","",VLOOKUP(B454,Lists!$A$2:$B$25,2,FALSE)&amp;"-"&amp;D454&amp;"-"&amp;TEXT(E454,"000"))</f>
        <v/>
      </c>
      <c r="E454">
        <f>IF(B454="","",COUNTIFS($B$2:B454,B454,$D$2:D454,D454))</f>
        <v/>
      </c>
    </row>
    <row r="455">
      <c r="A455">
        <f>IF(B455="","",VLOOKUP(B455,Lists!$A$2:$B$25,2,FALSE)&amp;"-"&amp;D455&amp;"-"&amp;TEXT(E455,"000"))</f>
        <v/>
      </c>
      <c r="E455">
        <f>IF(B455="","",COUNTIFS($B$2:B455,B455,$D$2:D455,D455))</f>
        <v/>
      </c>
    </row>
    <row r="456">
      <c r="A456">
        <f>IF(B456="","",VLOOKUP(B456,Lists!$A$2:$B$25,2,FALSE)&amp;"-"&amp;D456&amp;"-"&amp;TEXT(E456,"000"))</f>
        <v/>
      </c>
      <c r="E456">
        <f>IF(B456="","",COUNTIFS($B$2:B456,B456,$D$2:D456,D456))</f>
        <v/>
      </c>
    </row>
    <row r="457">
      <c r="A457">
        <f>IF(B457="","",VLOOKUP(B457,Lists!$A$2:$B$25,2,FALSE)&amp;"-"&amp;D457&amp;"-"&amp;TEXT(E457,"000"))</f>
        <v/>
      </c>
      <c r="E457">
        <f>IF(B457="","",COUNTIFS($B$2:B457,B457,$D$2:D457,D457))</f>
        <v/>
      </c>
    </row>
    <row r="458">
      <c r="A458">
        <f>IF(B458="","",VLOOKUP(B458,Lists!$A$2:$B$25,2,FALSE)&amp;"-"&amp;D458&amp;"-"&amp;TEXT(E458,"000"))</f>
        <v/>
      </c>
      <c r="E458">
        <f>IF(B458="","",COUNTIFS($B$2:B458,B458,$D$2:D458,D458))</f>
        <v/>
      </c>
    </row>
    <row r="459">
      <c r="A459">
        <f>IF(B459="","",VLOOKUP(B459,Lists!$A$2:$B$25,2,FALSE)&amp;"-"&amp;D459&amp;"-"&amp;TEXT(E459,"000"))</f>
        <v/>
      </c>
      <c r="E459">
        <f>IF(B459="","",COUNTIFS($B$2:B459,B459,$D$2:D459,D459))</f>
        <v/>
      </c>
    </row>
    <row r="460">
      <c r="A460">
        <f>IF(B460="","",VLOOKUP(B460,Lists!$A$2:$B$25,2,FALSE)&amp;"-"&amp;D460&amp;"-"&amp;TEXT(E460,"000"))</f>
        <v/>
      </c>
      <c r="E460">
        <f>IF(B460="","",COUNTIFS($B$2:B460,B460,$D$2:D460,D460))</f>
        <v/>
      </c>
    </row>
    <row r="461">
      <c r="A461">
        <f>IF(B461="","",VLOOKUP(B461,Lists!$A$2:$B$25,2,FALSE)&amp;"-"&amp;D461&amp;"-"&amp;TEXT(E461,"000"))</f>
        <v/>
      </c>
      <c r="E461">
        <f>IF(B461="","",COUNTIFS($B$2:B461,B461,$D$2:D461,D461))</f>
        <v/>
      </c>
    </row>
    <row r="462">
      <c r="A462">
        <f>IF(B462="","",VLOOKUP(B462,Lists!$A$2:$B$25,2,FALSE)&amp;"-"&amp;D462&amp;"-"&amp;TEXT(E462,"000"))</f>
        <v/>
      </c>
      <c r="E462">
        <f>IF(B462="","",COUNTIFS($B$2:B462,B462,$D$2:D462,D462))</f>
        <v/>
      </c>
    </row>
    <row r="463">
      <c r="A463">
        <f>IF(B463="","",VLOOKUP(B463,Lists!$A$2:$B$25,2,FALSE)&amp;"-"&amp;D463&amp;"-"&amp;TEXT(E463,"000"))</f>
        <v/>
      </c>
      <c r="E463">
        <f>IF(B463="","",COUNTIFS($B$2:B463,B463,$D$2:D463,D463))</f>
        <v/>
      </c>
    </row>
    <row r="464">
      <c r="A464">
        <f>IF(B464="","",VLOOKUP(B464,Lists!$A$2:$B$25,2,FALSE)&amp;"-"&amp;D464&amp;"-"&amp;TEXT(E464,"000"))</f>
        <v/>
      </c>
      <c r="E464">
        <f>IF(B464="","",COUNTIFS($B$2:B464,B464,$D$2:D464,D464))</f>
        <v/>
      </c>
    </row>
    <row r="465">
      <c r="A465">
        <f>IF(B465="","",VLOOKUP(B465,Lists!$A$2:$B$25,2,FALSE)&amp;"-"&amp;D465&amp;"-"&amp;TEXT(E465,"000"))</f>
        <v/>
      </c>
      <c r="E465">
        <f>IF(B465="","",COUNTIFS($B$2:B465,B465,$D$2:D465,D465))</f>
        <v/>
      </c>
    </row>
    <row r="466">
      <c r="A466">
        <f>IF(B466="","",VLOOKUP(B466,Lists!$A$2:$B$25,2,FALSE)&amp;"-"&amp;D466&amp;"-"&amp;TEXT(E466,"000"))</f>
        <v/>
      </c>
      <c r="E466">
        <f>IF(B466="","",COUNTIFS($B$2:B466,B466,$D$2:D466,D466))</f>
        <v/>
      </c>
    </row>
    <row r="467">
      <c r="A467">
        <f>IF(B467="","",VLOOKUP(B467,Lists!$A$2:$B$25,2,FALSE)&amp;"-"&amp;D467&amp;"-"&amp;TEXT(E467,"000"))</f>
        <v/>
      </c>
      <c r="E467">
        <f>IF(B467="","",COUNTIFS($B$2:B467,B467,$D$2:D467,D467))</f>
        <v/>
      </c>
    </row>
    <row r="468">
      <c r="A468">
        <f>IF(B468="","",VLOOKUP(B468,Lists!$A$2:$B$25,2,FALSE)&amp;"-"&amp;D468&amp;"-"&amp;TEXT(E468,"000"))</f>
        <v/>
      </c>
      <c r="E468">
        <f>IF(B468="","",COUNTIFS($B$2:B468,B468,$D$2:D468,D468))</f>
        <v/>
      </c>
    </row>
    <row r="469">
      <c r="A469">
        <f>IF(B469="","",VLOOKUP(B469,Lists!$A$2:$B$25,2,FALSE)&amp;"-"&amp;D469&amp;"-"&amp;TEXT(E469,"000"))</f>
        <v/>
      </c>
      <c r="E469">
        <f>IF(B469="","",COUNTIFS($B$2:B469,B469,$D$2:D469,D469))</f>
        <v/>
      </c>
    </row>
    <row r="470">
      <c r="A470">
        <f>IF(B470="","",VLOOKUP(B470,Lists!$A$2:$B$25,2,FALSE)&amp;"-"&amp;D470&amp;"-"&amp;TEXT(E470,"000"))</f>
        <v/>
      </c>
      <c r="E470">
        <f>IF(B470="","",COUNTIFS($B$2:B470,B470,$D$2:D470,D470))</f>
        <v/>
      </c>
    </row>
    <row r="471">
      <c r="A471">
        <f>IF(B471="","",VLOOKUP(B471,Lists!$A$2:$B$25,2,FALSE)&amp;"-"&amp;D471&amp;"-"&amp;TEXT(E471,"000"))</f>
        <v/>
      </c>
      <c r="E471">
        <f>IF(B471="","",COUNTIFS($B$2:B471,B471,$D$2:D471,D471))</f>
        <v/>
      </c>
    </row>
    <row r="472">
      <c r="A472">
        <f>IF(B472="","",VLOOKUP(B472,Lists!$A$2:$B$25,2,FALSE)&amp;"-"&amp;D472&amp;"-"&amp;TEXT(E472,"000"))</f>
        <v/>
      </c>
      <c r="E472">
        <f>IF(B472="","",COUNTIFS($B$2:B472,B472,$D$2:D472,D472))</f>
        <v/>
      </c>
    </row>
    <row r="473">
      <c r="A473">
        <f>IF(B473="","",VLOOKUP(B473,Lists!$A$2:$B$25,2,FALSE)&amp;"-"&amp;D473&amp;"-"&amp;TEXT(E473,"000"))</f>
        <v/>
      </c>
      <c r="E473">
        <f>IF(B473="","",COUNTIFS($B$2:B473,B473,$D$2:D473,D473))</f>
        <v/>
      </c>
    </row>
    <row r="474">
      <c r="A474">
        <f>IF(B474="","",VLOOKUP(B474,Lists!$A$2:$B$25,2,FALSE)&amp;"-"&amp;D474&amp;"-"&amp;TEXT(E474,"000"))</f>
        <v/>
      </c>
      <c r="E474">
        <f>IF(B474="","",COUNTIFS($B$2:B474,B474,$D$2:D474,D474))</f>
        <v/>
      </c>
    </row>
    <row r="475">
      <c r="A475">
        <f>IF(B475="","",VLOOKUP(B475,Lists!$A$2:$B$25,2,FALSE)&amp;"-"&amp;D475&amp;"-"&amp;TEXT(E475,"000"))</f>
        <v/>
      </c>
      <c r="E475">
        <f>IF(B475="","",COUNTIFS($B$2:B475,B475,$D$2:D475,D475))</f>
        <v/>
      </c>
    </row>
    <row r="476">
      <c r="A476">
        <f>IF(B476="","",VLOOKUP(B476,Lists!$A$2:$B$25,2,FALSE)&amp;"-"&amp;D476&amp;"-"&amp;TEXT(E476,"000"))</f>
        <v/>
      </c>
      <c r="E476">
        <f>IF(B476="","",COUNTIFS($B$2:B476,B476,$D$2:D476,D476))</f>
        <v/>
      </c>
    </row>
    <row r="477">
      <c r="A477">
        <f>IF(B477="","",VLOOKUP(B477,Lists!$A$2:$B$25,2,FALSE)&amp;"-"&amp;D477&amp;"-"&amp;TEXT(E477,"000"))</f>
        <v/>
      </c>
      <c r="E477">
        <f>IF(B477="","",COUNTIFS($B$2:B477,B477,$D$2:D477,D477))</f>
        <v/>
      </c>
    </row>
    <row r="478">
      <c r="A478">
        <f>IF(B478="","",VLOOKUP(B478,Lists!$A$2:$B$25,2,FALSE)&amp;"-"&amp;D478&amp;"-"&amp;TEXT(E478,"000"))</f>
        <v/>
      </c>
      <c r="E478">
        <f>IF(B478="","",COUNTIFS($B$2:B478,B478,$D$2:D478,D478))</f>
        <v/>
      </c>
    </row>
    <row r="479">
      <c r="A479">
        <f>IF(B479="","",VLOOKUP(B479,Lists!$A$2:$B$25,2,FALSE)&amp;"-"&amp;D479&amp;"-"&amp;TEXT(E479,"000"))</f>
        <v/>
      </c>
      <c r="E479">
        <f>IF(B479="","",COUNTIFS($B$2:B479,B479,$D$2:D479,D479))</f>
        <v/>
      </c>
    </row>
    <row r="480">
      <c r="A480">
        <f>IF(B480="","",VLOOKUP(B480,Lists!$A$2:$B$25,2,FALSE)&amp;"-"&amp;D480&amp;"-"&amp;TEXT(E480,"000"))</f>
        <v/>
      </c>
      <c r="E480">
        <f>IF(B480="","",COUNTIFS($B$2:B480,B480,$D$2:D480,D480))</f>
        <v/>
      </c>
    </row>
    <row r="481">
      <c r="A481">
        <f>IF(B481="","",VLOOKUP(B481,Lists!$A$2:$B$25,2,FALSE)&amp;"-"&amp;D481&amp;"-"&amp;TEXT(E481,"000"))</f>
        <v/>
      </c>
      <c r="E481">
        <f>IF(B481="","",COUNTIFS($B$2:B481,B481,$D$2:D481,D481))</f>
        <v/>
      </c>
    </row>
    <row r="482">
      <c r="A482">
        <f>IF(B482="","",VLOOKUP(B482,Lists!$A$2:$B$25,2,FALSE)&amp;"-"&amp;D482&amp;"-"&amp;TEXT(E482,"000"))</f>
        <v/>
      </c>
      <c r="E482">
        <f>IF(B482="","",COUNTIFS($B$2:B482,B482,$D$2:D482,D482))</f>
        <v/>
      </c>
    </row>
    <row r="483">
      <c r="A483">
        <f>IF(B483="","",VLOOKUP(B483,Lists!$A$2:$B$25,2,FALSE)&amp;"-"&amp;D483&amp;"-"&amp;TEXT(E483,"000"))</f>
        <v/>
      </c>
      <c r="E483">
        <f>IF(B483="","",COUNTIFS($B$2:B483,B483,$D$2:D483,D483))</f>
        <v/>
      </c>
    </row>
    <row r="484">
      <c r="A484">
        <f>IF(B484="","",VLOOKUP(B484,Lists!$A$2:$B$25,2,FALSE)&amp;"-"&amp;D484&amp;"-"&amp;TEXT(E484,"000"))</f>
        <v/>
      </c>
      <c r="E484">
        <f>IF(B484="","",COUNTIFS($B$2:B484,B484,$D$2:D484,D484))</f>
        <v/>
      </c>
    </row>
    <row r="485">
      <c r="A485">
        <f>IF(B485="","",VLOOKUP(B485,Lists!$A$2:$B$25,2,FALSE)&amp;"-"&amp;D485&amp;"-"&amp;TEXT(E485,"000"))</f>
        <v/>
      </c>
      <c r="E485">
        <f>IF(B485="","",COUNTIFS($B$2:B485,B485,$D$2:D485,D485))</f>
        <v/>
      </c>
    </row>
    <row r="486">
      <c r="A486">
        <f>IF(B486="","",VLOOKUP(B486,Lists!$A$2:$B$25,2,FALSE)&amp;"-"&amp;D486&amp;"-"&amp;TEXT(E486,"000"))</f>
        <v/>
      </c>
      <c r="E486">
        <f>IF(B486="","",COUNTIFS($B$2:B486,B486,$D$2:D486,D486))</f>
        <v/>
      </c>
    </row>
    <row r="487">
      <c r="A487">
        <f>IF(B487="","",VLOOKUP(B487,Lists!$A$2:$B$25,2,FALSE)&amp;"-"&amp;D487&amp;"-"&amp;TEXT(E487,"000"))</f>
        <v/>
      </c>
      <c r="E487">
        <f>IF(B487="","",COUNTIFS($B$2:B487,B487,$D$2:D487,D487))</f>
        <v/>
      </c>
    </row>
    <row r="488">
      <c r="A488">
        <f>IF(B488="","",VLOOKUP(B488,Lists!$A$2:$B$25,2,FALSE)&amp;"-"&amp;D488&amp;"-"&amp;TEXT(E488,"000"))</f>
        <v/>
      </c>
      <c r="E488">
        <f>IF(B488="","",COUNTIFS($B$2:B488,B488,$D$2:D488,D488))</f>
        <v/>
      </c>
    </row>
    <row r="489">
      <c r="A489">
        <f>IF(B489="","",VLOOKUP(B489,Lists!$A$2:$B$25,2,FALSE)&amp;"-"&amp;D489&amp;"-"&amp;TEXT(E489,"000"))</f>
        <v/>
      </c>
      <c r="E489">
        <f>IF(B489="","",COUNTIFS($B$2:B489,B489,$D$2:D489,D489))</f>
        <v/>
      </c>
    </row>
    <row r="490">
      <c r="A490">
        <f>IF(B490="","",VLOOKUP(B490,Lists!$A$2:$B$25,2,FALSE)&amp;"-"&amp;D490&amp;"-"&amp;TEXT(E490,"000"))</f>
        <v/>
      </c>
      <c r="E490">
        <f>IF(B490="","",COUNTIFS($B$2:B490,B490,$D$2:D490,D490))</f>
        <v/>
      </c>
    </row>
    <row r="491">
      <c r="A491">
        <f>IF(B491="","",VLOOKUP(B491,Lists!$A$2:$B$25,2,FALSE)&amp;"-"&amp;D491&amp;"-"&amp;TEXT(E491,"000"))</f>
        <v/>
      </c>
      <c r="E491">
        <f>IF(B491="","",COUNTIFS($B$2:B491,B491,$D$2:D491,D491))</f>
        <v/>
      </c>
    </row>
    <row r="492">
      <c r="A492">
        <f>IF(B492="","",VLOOKUP(B492,Lists!$A$2:$B$25,2,FALSE)&amp;"-"&amp;D492&amp;"-"&amp;TEXT(E492,"000"))</f>
        <v/>
      </c>
      <c r="E492">
        <f>IF(B492="","",COUNTIFS($B$2:B492,B492,$D$2:D492,D492))</f>
        <v/>
      </c>
    </row>
    <row r="493">
      <c r="A493">
        <f>IF(B493="","",VLOOKUP(B493,Lists!$A$2:$B$25,2,FALSE)&amp;"-"&amp;D493&amp;"-"&amp;TEXT(E493,"000"))</f>
        <v/>
      </c>
      <c r="E493">
        <f>IF(B493="","",COUNTIFS($B$2:B493,B493,$D$2:D493,D493))</f>
        <v/>
      </c>
    </row>
    <row r="494">
      <c r="A494">
        <f>IF(B494="","",VLOOKUP(B494,Lists!$A$2:$B$25,2,FALSE)&amp;"-"&amp;D494&amp;"-"&amp;TEXT(E494,"000"))</f>
        <v/>
      </c>
      <c r="E494">
        <f>IF(B494="","",COUNTIFS($B$2:B494,B494,$D$2:D494,D494))</f>
        <v/>
      </c>
    </row>
    <row r="495">
      <c r="A495">
        <f>IF(B495="","",VLOOKUP(B495,Lists!$A$2:$B$25,2,FALSE)&amp;"-"&amp;D495&amp;"-"&amp;TEXT(E495,"000"))</f>
        <v/>
      </c>
      <c r="E495">
        <f>IF(B495="","",COUNTIFS($B$2:B495,B495,$D$2:D495,D495))</f>
        <v/>
      </c>
    </row>
    <row r="496">
      <c r="A496">
        <f>IF(B496="","",VLOOKUP(B496,Lists!$A$2:$B$25,2,FALSE)&amp;"-"&amp;D496&amp;"-"&amp;TEXT(E496,"000"))</f>
        <v/>
      </c>
      <c r="E496">
        <f>IF(B496="","",COUNTIFS($B$2:B496,B496,$D$2:D496,D496))</f>
        <v/>
      </c>
    </row>
    <row r="497">
      <c r="A497">
        <f>IF(B497="","",VLOOKUP(B497,Lists!$A$2:$B$25,2,FALSE)&amp;"-"&amp;D497&amp;"-"&amp;TEXT(E497,"000"))</f>
        <v/>
      </c>
      <c r="E497">
        <f>IF(B497="","",COUNTIFS($B$2:B497,B497,$D$2:D497,D497))</f>
        <v/>
      </c>
    </row>
    <row r="498">
      <c r="A498">
        <f>IF(B498="","",VLOOKUP(B498,Lists!$A$2:$B$25,2,FALSE)&amp;"-"&amp;D498&amp;"-"&amp;TEXT(E498,"000"))</f>
        <v/>
      </c>
      <c r="E498">
        <f>IF(B498="","",COUNTIFS($B$2:B498,B498,$D$2:D498,D498))</f>
        <v/>
      </c>
    </row>
    <row r="499">
      <c r="A499">
        <f>IF(B499="","",VLOOKUP(B499,Lists!$A$2:$B$25,2,FALSE)&amp;"-"&amp;D499&amp;"-"&amp;TEXT(E499,"000"))</f>
        <v/>
      </c>
      <c r="E499">
        <f>IF(B499="","",COUNTIFS($B$2:B499,B499,$D$2:D499,D499))</f>
        <v/>
      </c>
    </row>
    <row r="500">
      <c r="A500">
        <f>IF(B500="","",VLOOKUP(B500,Lists!$A$2:$B$25,2,FALSE)&amp;"-"&amp;D500&amp;"-"&amp;TEXT(E500,"000"))</f>
        <v/>
      </c>
      <c r="E500">
        <f>IF(B500="","",COUNTIFS($B$2:B500,B500,$D$2:D500,D500))</f>
        <v/>
      </c>
    </row>
    <row r="501">
      <c r="A501">
        <f>IF(B501="","",VLOOKUP(B501,Lists!$A$2:$B$25,2,FALSE)&amp;"-"&amp;D501&amp;"-"&amp;TEXT(E501,"000"))</f>
        <v/>
      </c>
      <c r="E501">
        <f>IF(B501="","",COUNTIFS($B$2:B501,B501,$D$2:D501,D501))</f>
        <v/>
      </c>
    </row>
    <row r="502">
      <c r="A502">
        <f>IF(B502="","",VLOOKUP(B502,Lists!$A$2:$B$25,2,FALSE)&amp;"-"&amp;D502&amp;"-"&amp;TEXT(E502,"000"))</f>
        <v/>
      </c>
      <c r="E502">
        <f>IF(B502="","",COUNTIFS($B$2:B502,B502,$D$2:D502,D502))</f>
        <v/>
      </c>
    </row>
    <row r="503">
      <c r="A503">
        <f>IF(B503="","",VLOOKUP(B503,Lists!$A$2:$B$25,2,FALSE)&amp;"-"&amp;D503&amp;"-"&amp;TEXT(E503,"000"))</f>
        <v/>
      </c>
      <c r="E503">
        <f>IF(B503="","",COUNTIFS($B$2:B503,B503,$D$2:D503,D503))</f>
        <v/>
      </c>
    </row>
    <row r="504">
      <c r="A504">
        <f>IF(B504="","",VLOOKUP(B504,Lists!$A$2:$B$25,2,FALSE)&amp;"-"&amp;D504&amp;"-"&amp;TEXT(E504,"000"))</f>
        <v/>
      </c>
      <c r="E504">
        <f>IF(B504="","",COUNTIFS($B$2:B504,B504,$D$2:D504,D504))</f>
        <v/>
      </c>
    </row>
    <row r="505">
      <c r="A505">
        <f>IF(B505="","",VLOOKUP(B505,Lists!$A$2:$B$25,2,FALSE)&amp;"-"&amp;D505&amp;"-"&amp;TEXT(E505,"000"))</f>
        <v/>
      </c>
      <c r="E505">
        <f>IF(B505="","",COUNTIFS($B$2:B505,B505,$D$2:D505,D505))</f>
        <v/>
      </c>
    </row>
    <row r="506">
      <c r="A506">
        <f>IF(B506="","",VLOOKUP(B506,Lists!$A$2:$B$25,2,FALSE)&amp;"-"&amp;D506&amp;"-"&amp;TEXT(E506,"000"))</f>
        <v/>
      </c>
      <c r="E506">
        <f>IF(B506="","",COUNTIFS($B$2:B506,B506,$D$2:D506,D506))</f>
        <v/>
      </c>
    </row>
    <row r="507">
      <c r="A507">
        <f>IF(B507="","",VLOOKUP(B507,Lists!$A$2:$B$25,2,FALSE)&amp;"-"&amp;D507&amp;"-"&amp;TEXT(E507,"000"))</f>
        <v/>
      </c>
      <c r="E507">
        <f>IF(B507="","",COUNTIFS($B$2:B507,B507,$D$2:D507,D507))</f>
        <v/>
      </c>
    </row>
    <row r="508">
      <c r="A508">
        <f>IF(B508="","",VLOOKUP(B508,Lists!$A$2:$B$25,2,FALSE)&amp;"-"&amp;D508&amp;"-"&amp;TEXT(E508,"000"))</f>
        <v/>
      </c>
      <c r="E508">
        <f>IF(B508="","",COUNTIFS($B$2:B508,B508,$D$2:D508,D508))</f>
        <v/>
      </c>
    </row>
    <row r="509">
      <c r="A509">
        <f>IF(B509="","",VLOOKUP(B509,Lists!$A$2:$B$25,2,FALSE)&amp;"-"&amp;D509&amp;"-"&amp;TEXT(E509,"000"))</f>
        <v/>
      </c>
      <c r="E509">
        <f>IF(B509="","",COUNTIFS($B$2:B509,B509,$D$2:D509,D509))</f>
        <v/>
      </c>
    </row>
    <row r="510">
      <c r="A510">
        <f>IF(B510="","",VLOOKUP(B510,Lists!$A$2:$B$25,2,FALSE)&amp;"-"&amp;D510&amp;"-"&amp;TEXT(E510,"000"))</f>
        <v/>
      </c>
      <c r="E510">
        <f>IF(B510="","",COUNTIFS($B$2:B510,B510,$D$2:D510,D510))</f>
        <v/>
      </c>
    </row>
    <row r="511">
      <c r="A511">
        <f>IF(B511="","",VLOOKUP(B511,Lists!$A$2:$B$25,2,FALSE)&amp;"-"&amp;D511&amp;"-"&amp;TEXT(E511,"000"))</f>
        <v/>
      </c>
      <c r="E511">
        <f>IF(B511="","",COUNTIFS($B$2:B511,B511,$D$2:D511,D511))</f>
        <v/>
      </c>
    </row>
    <row r="512">
      <c r="A512">
        <f>IF(B512="","",VLOOKUP(B512,Lists!$A$2:$B$25,2,FALSE)&amp;"-"&amp;D512&amp;"-"&amp;TEXT(E512,"000"))</f>
        <v/>
      </c>
      <c r="E512">
        <f>IF(B512="","",COUNTIFS($B$2:B512,B512,$D$2:D512,D512))</f>
        <v/>
      </c>
    </row>
    <row r="513">
      <c r="A513">
        <f>IF(B513="","",VLOOKUP(B513,Lists!$A$2:$B$25,2,FALSE)&amp;"-"&amp;D513&amp;"-"&amp;TEXT(E513,"000"))</f>
        <v/>
      </c>
      <c r="E513">
        <f>IF(B513="","",COUNTIFS($B$2:B513,B513,$D$2:D513,D513))</f>
        <v/>
      </c>
    </row>
    <row r="514">
      <c r="A514">
        <f>IF(B514="","",VLOOKUP(B514,Lists!$A$2:$B$25,2,FALSE)&amp;"-"&amp;D514&amp;"-"&amp;TEXT(E514,"000"))</f>
        <v/>
      </c>
      <c r="E514">
        <f>IF(B514="","",COUNTIFS($B$2:B514,B514,$D$2:D514,D514))</f>
        <v/>
      </c>
    </row>
    <row r="515">
      <c r="A515">
        <f>IF(B515="","",VLOOKUP(B515,Lists!$A$2:$B$25,2,FALSE)&amp;"-"&amp;D515&amp;"-"&amp;TEXT(E515,"000"))</f>
        <v/>
      </c>
      <c r="E515">
        <f>IF(B515="","",COUNTIFS($B$2:B515,B515,$D$2:D515,D515))</f>
        <v/>
      </c>
    </row>
    <row r="516">
      <c r="A516">
        <f>IF(B516="","",VLOOKUP(B516,Lists!$A$2:$B$25,2,FALSE)&amp;"-"&amp;D516&amp;"-"&amp;TEXT(E516,"000"))</f>
        <v/>
      </c>
      <c r="E516">
        <f>IF(B516="","",COUNTIFS($B$2:B516,B516,$D$2:D516,D516))</f>
        <v/>
      </c>
    </row>
    <row r="517">
      <c r="A517">
        <f>IF(B517="","",VLOOKUP(B517,Lists!$A$2:$B$25,2,FALSE)&amp;"-"&amp;D517&amp;"-"&amp;TEXT(E517,"000"))</f>
        <v/>
      </c>
      <c r="E517">
        <f>IF(B517="","",COUNTIFS($B$2:B517,B517,$D$2:D517,D517))</f>
        <v/>
      </c>
    </row>
    <row r="518">
      <c r="A518">
        <f>IF(B518="","",VLOOKUP(B518,Lists!$A$2:$B$25,2,FALSE)&amp;"-"&amp;D518&amp;"-"&amp;TEXT(E518,"000"))</f>
        <v/>
      </c>
      <c r="E518">
        <f>IF(B518="","",COUNTIFS($B$2:B518,B518,$D$2:D518,D518))</f>
        <v/>
      </c>
    </row>
    <row r="519">
      <c r="A519">
        <f>IF(B519="","",VLOOKUP(B519,Lists!$A$2:$B$25,2,FALSE)&amp;"-"&amp;D519&amp;"-"&amp;TEXT(E519,"000"))</f>
        <v/>
      </c>
      <c r="E519">
        <f>IF(B519="","",COUNTIFS($B$2:B519,B519,$D$2:D519,D519))</f>
        <v/>
      </c>
    </row>
    <row r="520">
      <c r="A520">
        <f>IF(B520="","",VLOOKUP(B520,Lists!$A$2:$B$25,2,FALSE)&amp;"-"&amp;D520&amp;"-"&amp;TEXT(E520,"000"))</f>
        <v/>
      </c>
      <c r="E520">
        <f>IF(B520="","",COUNTIFS($B$2:B520,B520,$D$2:D520,D520))</f>
        <v/>
      </c>
    </row>
    <row r="521">
      <c r="A521">
        <f>IF(B521="","",VLOOKUP(B521,Lists!$A$2:$B$25,2,FALSE)&amp;"-"&amp;D521&amp;"-"&amp;TEXT(E521,"000"))</f>
        <v/>
      </c>
      <c r="E521">
        <f>IF(B521="","",COUNTIFS($B$2:B521,B521,$D$2:D521,D521))</f>
        <v/>
      </c>
    </row>
    <row r="522">
      <c r="A522">
        <f>IF(B522="","",VLOOKUP(B522,Lists!$A$2:$B$25,2,FALSE)&amp;"-"&amp;D522&amp;"-"&amp;TEXT(E522,"000"))</f>
        <v/>
      </c>
      <c r="E522">
        <f>IF(B522="","",COUNTIFS($B$2:B522,B522,$D$2:D522,D522))</f>
        <v/>
      </c>
    </row>
    <row r="523">
      <c r="A523">
        <f>IF(B523="","",VLOOKUP(B523,Lists!$A$2:$B$25,2,FALSE)&amp;"-"&amp;D523&amp;"-"&amp;TEXT(E523,"000"))</f>
        <v/>
      </c>
      <c r="E523">
        <f>IF(B523="","",COUNTIFS($B$2:B523,B523,$D$2:D523,D523))</f>
        <v/>
      </c>
    </row>
    <row r="524">
      <c r="A524">
        <f>IF(B524="","",VLOOKUP(B524,Lists!$A$2:$B$25,2,FALSE)&amp;"-"&amp;D524&amp;"-"&amp;TEXT(E524,"000"))</f>
        <v/>
      </c>
      <c r="E524">
        <f>IF(B524="","",COUNTIFS($B$2:B524,B524,$D$2:D524,D524))</f>
        <v/>
      </c>
    </row>
    <row r="525">
      <c r="A525">
        <f>IF(B525="","",VLOOKUP(B525,Lists!$A$2:$B$25,2,FALSE)&amp;"-"&amp;D525&amp;"-"&amp;TEXT(E525,"000"))</f>
        <v/>
      </c>
      <c r="E525">
        <f>IF(B525="","",COUNTIFS($B$2:B525,B525,$D$2:D525,D525))</f>
        <v/>
      </c>
    </row>
    <row r="526">
      <c r="A526">
        <f>IF(B526="","",VLOOKUP(B526,Lists!$A$2:$B$25,2,FALSE)&amp;"-"&amp;D526&amp;"-"&amp;TEXT(E526,"000"))</f>
        <v/>
      </c>
      <c r="E526">
        <f>IF(B526="","",COUNTIFS($B$2:B526,B526,$D$2:D526,D526))</f>
        <v/>
      </c>
    </row>
    <row r="527">
      <c r="A527">
        <f>IF(B527="","",VLOOKUP(B527,Lists!$A$2:$B$25,2,FALSE)&amp;"-"&amp;D527&amp;"-"&amp;TEXT(E527,"000"))</f>
        <v/>
      </c>
      <c r="E527">
        <f>IF(B527="","",COUNTIFS($B$2:B527,B527,$D$2:D527,D527))</f>
        <v/>
      </c>
    </row>
    <row r="528">
      <c r="A528">
        <f>IF(B528="","",VLOOKUP(B528,Lists!$A$2:$B$25,2,FALSE)&amp;"-"&amp;D528&amp;"-"&amp;TEXT(E528,"000"))</f>
        <v/>
      </c>
      <c r="E528">
        <f>IF(B528="","",COUNTIFS($B$2:B528,B528,$D$2:D528,D528))</f>
        <v/>
      </c>
    </row>
    <row r="529">
      <c r="A529">
        <f>IF(B529="","",VLOOKUP(B529,Lists!$A$2:$B$25,2,FALSE)&amp;"-"&amp;D529&amp;"-"&amp;TEXT(E529,"000"))</f>
        <v/>
      </c>
      <c r="E529">
        <f>IF(B529="","",COUNTIFS($B$2:B529,B529,$D$2:D529,D529))</f>
        <v/>
      </c>
    </row>
    <row r="530">
      <c r="A530">
        <f>IF(B530="","",VLOOKUP(B530,Lists!$A$2:$B$25,2,FALSE)&amp;"-"&amp;D530&amp;"-"&amp;TEXT(E530,"000"))</f>
        <v/>
      </c>
      <c r="E530">
        <f>IF(B530="","",COUNTIFS($B$2:B530,B530,$D$2:D530,D530))</f>
        <v/>
      </c>
    </row>
    <row r="531">
      <c r="A531">
        <f>IF(B531="","",VLOOKUP(B531,Lists!$A$2:$B$25,2,FALSE)&amp;"-"&amp;D531&amp;"-"&amp;TEXT(E531,"000"))</f>
        <v/>
      </c>
      <c r="E531">
        <f>IF(B531="","",COUNTIFS($B$2:B531,B531,$D$2:D531,D531))</f>
        <v/>
      </c>
    </row>
    <row r="532">
      <c r="A532">
        <f>IF(B532="","",VLOOKUP(B532,Lists!$A$2:$B$25,2,FALSE)&amp;"-"&amp;D532&amp;"-"&amp;TEXT(E532,"000"))</f>
        <v/>
      </c>
      <c r="E532">
        <f>IF(B532="","",COUNTIFS($B$2:B532,B532,$D$2:D532,D532))</f>
        <v/>
      </c>
    </row>
    <row r="533">
      <c r="A533">
        <f>IF(B533="","",VLOOKUP(B533,Lists!$A$2:$B$25,2,FALSE)&amp;"-"&amp;D533&amp;"-"&amp;TEXT(E533,"000"))</f>
        <v/>
      </c>
      <c r="E533">
        <f>IF(B533="","",COUNTIFS($B$2:B533,B533,$D$2:D533,D533))</f>
        <v/>
      </c>
    </row>
    <row r="534">
      <c r="A534">
        <f>IF(B534="","",VLOOKUP(B534,Lists!$A$2:$B$25,2,FALSE)&amp;"-"&amp;D534&amp;"-"&amp;TEXT(E534,"000"))</f>
        <v/>
      </c>
      <c r="E534">
        <f>IF(B534="","",COUNTIFS($B$2:B534,B534,$D$2:D534,D534))</f>
        <v/>
      </c>
    </row>
    <row r="535">
      <c r="A535">
        <f>IF(B535="","",VLOOKUP(B535,Lists!$A$2:$B$25,2,FALSE)&amp;"-"&amp;D535&amp;"-"&amp;TEXT(E535,"000"))</f>
        <v/>
      </c>
      <c r="E535">
        <f>IF(B535="","",COUNTIFS($B$2:B535,B535,$D$2:D535,D535))</f>
        <v/>
      </c>
    </row>
    <row r="536">
      <c r="A536">
        <f>IF(B536="","",VLOOKUP(B536,Lists!$A$2:$B$25,2,FALSE)&amp;"-"&amp;D536&amp;"-"&amp;TEXT(E536,"000"))</f>
        <v/>
      </c>
      <c r="E536">
        <f>IF(B536="","",COUNTIFS($B$2:B536,B536,$D$2:D536,D536))</f>
        <v/>
      </c>
    </row>
    <row r="537">
      <c r="A537">
        <f>IF(B537="","",VLOOKUP(B537,Lists!$A$2:$B$25,2,FALSE)&amp;"-"&amp;D537&amp;"-"&amp;TEXT(E537,"000"))</f>
        <v/>
      </c>
      <c r="E537">
        <f>IF(B537="","",COUNTIFS($B$2:B537,B537,$D$2:D537,D537))</f>
        <v/>
      </c>
    </row>
    <row r="538">
      <c r="A538">
        <f>IF(B538="","",VLOOKUP(B538,Lists!$A$2:$B$25,2,FALSE)&amp;"-"&amp;D538&amp;"-"&amp;TEXT(E538,"000"))</f>
        <v/>
      </c>
      <c r="E538">
        <f>IF(B538="","",COUNTIFS($B$2:B538,B538,$D$2:D538,D538))</f>
        <v/>
      </c>
    </row>
    <row r="539">
      <c r="A539">
        <f>IF(B539="","",VLOOKUP(B539,Lists!$A$2:$B$25,2,FALSE)&amp;"-"&amp;D539&amp;"-"&amp;TEXT(E539,"000"))</f>
        <v/>
      </c>
      <c r="E539">
        <f>IF(B539="","",COUNTIFS($B$2:B539,B539,$D$2:D539,D539))</f>
        <v/>
      </c>
    </row>
    <row r="540">
      <c r="A540">
        <f>IF(B540="","",VLOOKUP(B540,Lists!$A$2:$B$25,2,FALSE)&amp;"-"&amp;D540&amp;"-"&amp;TEXT(E540,"000"))</f>
        <v/>
      </c>
      <c r="E540">
        <f>IF(B540="","",COUNTIFS($B$2:B540,B540,$D$2:D540,D540))</f>
        <v/>
      </c>
    </row>
    <row r="541">
      <c r="A541">
        <f>IF(B541="","",VLOOKUP(B541,Lists!$A$2:$B$25,2,FALSE)&amp;"-"&amp;D541&amp;"-"&amp;TEXT(E541,"000"))</f>
        <v/>
      </c>
      <c r="E541">
        <f>IF(B541="","",COUNTIFS($B$2:B541,B541,$D$2:D541,D541))</f>
        <v/>
      </c>
    </row>
    <row r="542">
      <c r="A542">
        <f>IF(B542="","",VLOOKUP(B542,Lists!$A$2:$B$25,2,FALSE)&amp;"-"&amp;D542&amp;"-"&amp;TEXT(E542,"000"))</f>
        <v/>
      </c>
      <c r="E542">
        <f>IF(B542="","",COUNTIFS($B$2:B542,B542,$D$2:D542,D542))</f>
        <v/>
      </c>
    </row>
    <row r="543">
      <c r="A543">
        <f>IF(B543="","",VLOOKUP(B543,Lists!$A$2:$B$25,2,FALSE)&amp;"-"&amp;D543&amp;"-"&amp;TEXT(E543,"000"))</f>
        <v/>
      </c>
      <c r="E543">
        <f>IF(B543="","",COUNTIFS($B$2:B543,B543,$D$2:D543,D543))</f>
        <v/>
      </c>
    </row>
    <row r="544">
      <c r="A544">
        <f>IF(B544="","",VLOOKUP(B544,Lists!$A$2:$B$25,2,FALSE)&amp;"-"&amp;D544&amp;"-"&amp;TEXT(E544,"000"))</f>
        <v/>
      </c>
      <c r="E544">
        <f>IF(B544="","",COUNTIFS($B$2:B544,B544,$D$2:D544,D544))</f>
        <v/>
      </c>
    </row>
    <row r="545">
      <c r="A545">
        <f>IF(B545="","",VLOOKUP(B545,Lists!$A$2:$B$25,2,FALSE)&amp;"-"&amp;D545&amp;"-"&amp;TEXT(E545,"000"))</f>
        <v/>
      </c>
      <c r="E545">
        <f>IF(B545="","",COUNTIFS($B$2:B545,B545,$D$2:D545,D545))</f>
        <v/>
      </c>
    </row>
    <row r="546">
      <c r="A546">
        <f>IF(B546="","",VLOOKUP(B546,Lists!$A$2:$B$25,2,FALSE)&amp;"-"&amp;D546&amp;"-"&amp;TEXT(E546,"000"))</f>
        <v/>
      </c>
      <c r="E546">
        <f>IF(B546="","",COUNTIFS($B$2:B546,B546,$D$2:D546,D546))</f>
        <v/>
      </c>
    </row>
    <row r="547">
      <c r="A547">
        <f>IF(B547="","",VLOOKUP(B547,Lists!$A$2:$B$25,2,FALSE)&amp;"-"&amp;D547&amp;"-"&amp;TEXT(E547,"000"))</f>
        <v/>
      </c>
      <c r="E547">
        <f>IF(B547="","",COUNTIFS($B$2:B547,B547,$D$2:D547,D547))</f>
        <v/>
      </c>
    </row>
    <row r="548">
      <c r="A548">
        <f>IF(B548="","",VLOOKUP(B548,Lists!$A$2:$B$25,2,FALSE)&amp;"-"&amp;D548&amp;"-"&amp;TEXT(E548,"000"))</f>
        <v/>
      </c>
      <c r="E548">
        <f>IF(B548="","",COUNTIFS($B$2:B548,B548,$D$2:D548,D548))</f>
        <v/>
      </c>
    </row>
    <row r="549">
      <c r="A549">
        <f>IF(B549="","",VLOOKUP(B549,Lists!$A$2:$B$25,2,FALSE)&amp;"-"&amp;D549&amp;"-"&amp;TEXT(E549,"000"))</f>
        <v/>
      </c>
      <c r="E549">
        <f>IF(B549="","",COUNTIFS($B$2:B549,B549,$D$2:D549,D549))</f>
        <v/>
      </c>
    </row>
    <row r="550">
      <c r="A550">
        <f>IF(B550="","",VLOOKUP(B550,Lists!$A$2:$B$25,2,FALSE)&amp;"-"&amp;D550&amp;"-"&amp;TEXT(E550,"000"))</f>
        <v/>
      </c>
      <c r="E550">
        <f>IF(B550="","",COUNTIFS($B$2:B550,B550,$D$2:D550,D550))</f>
        <v/>
      </c>
    </row>
    <row r="551">
      <c r="A551">
        <f>IF(B551="","",VLOOKUP(B551,Lists!$A$2:$B$25,2,FALSE)&amp;"-"&amp;D551&amp;"-"&amp;TEXT(E551,"000"))</f>
        <v/>
      </c>
      <c r="E551">
        <f>IF(B551="","",COUNTIFS($B$2:B551,B551,$D$2:D551,D551))</f>
        <v/>
      </c>
    </row>
    <row r="552">
      <c r="A552">
        <f>IF(B552="","",VLOOKUP(B552,Lists!$A$2:$B$25,2,FALSE)&amp;"-"&amp;D552&amp;"-"&amp;TEXT(E552,"000"))</f>
        <v/>
      </c>
      <c r="E552">
        <f>IF(B552="","",COUNTIFS($B$2:B552,B552,$D$2:D552,D552))</f>
        <v/>
      </c>
    </row>
    <row r="553">
      <c r="A553">
        <f>IF(B553="","",VLOOKUP(B553,Lists!$A$2:$B$25,2,FALSE)&amp;"-"&amp;D553&amp;"-"&amp;TEXT(E553,"000"))</f>
        <v/>
      </c>
      <c r="E553">
        <f>IF(B553="","",COUNTIFS($B$2:B553,B553,$D$2:D553,D553))</f>
        <v/>
      </c>
    </row>
    <row r="554">
      <c r="A554">
        <f>IF(B554="","",VLOOKUP(B554,Lists!$A$2:$B$25,2,FALSE)&amp;"-"&amp;D554&amp;"-"&amp;TEXT(E554,"000"))</f>
        <v/>
      </c>
      <c r="E554">
        <f>IF(B554="","",COUNTIFS($B$2:B554,B554,$D$2:D554,D554))</f>
        <v/>
      </c>
    </row>
    <row r="555">
      <c r="A555">
        <f>IF(B555="","",VLOOKUP(B555,Lists!$A$2:$B$25,2,FALSE)&amp;"-"&amp;D555&amp;"-"&amp;TEXT(E555,"000"))</f>
        <v/>
      </c>
      <c r="E555">
        <f>IF(B555="","",COUNTIFS($B$2:B555,B555,$D$2:D555,D555))</f>
        <v/>
      </c>
    </row>
    <row r="556">
      <c r="A556">
        <f>IF(B556="","",VLOOKUP(B556,Lists!$A$2:$B$25,2,FALSE)&amp;"-"&amp;D556&amp;"-"&amp;TEXT(E556,"000"))</f>
        <v/>
      </c>
      <c r="E556">
        <f>IF(B556="","",COUNTIFS($B$2:B556,B556,$D$2:D556,D556))</f>
        <v/>
      </c>
    </row>
    <row r="557">
      <c r="A557">
        <f>IF(B557="","",VLOOKUP(B557,Lists!$A$2:$B$25,2,FALSE)&amp;"-"&amp;D557&amp;"-"&amp;TEXT(E557,"000"))</f>
        <v/>
      </c>
      <c r="E557">
        <f>IF(B557="","",COUNTIFS($B$2:B557,B557,$D$2:D557,D557))</f>
        <v/>
      </c>
    </row>
    <row r="558">
      <c r="A558">
        <f>IF(B558="","",VLOOKUP(B558,Lists!$A$2:$B$25,2,FALSE)&amp;"-"&amp;D558&amp;"-"&amp;TEXT(E558,"000"))</f>
        <v/>
      </c>
      <c r="E558">
        <f>IF(B558="","",COUNTIFS($B$2:B558,B558,$D$2:D558,D558))</f>
        <v/>
      </c>
    </row>
    <row r="559">
      <c r="A559">
        <f>IF(B559="","",VLOOKUP(B559,Lists!$A$2:$B$25,2,FALSE)&amp;"-"&amp;D559&amp;"-"&amp;TEXT(E559,"000"))</f>
        <v/>
      </c>
      <c r="E559">
        <f>IF(B559="","",COUNTIFS($B$2:B559,B559,$D$2:D559,D559))</f>
        <v/>
      </c>
    </row>
    <row r="560">
      <c r="A560">
        <f>IF(B560="","",VLOOKUP(B560,Lists!$A$2:$B$25,2,FALSE)&amp;"-"&amp;D560&amp;"-"&amp;TEXT(E560,"000"))</f>
        <v/>
      </c>
      <c r="E560">
        <f>IF(B560="","",COUNTIFS($B$2:B560,B560,$D$2:D560,D560))</f>
        <v/>
      </c>
    </row>
    <row r="561">
      <c r="A561">
        <f>IF(B561="","",VLOOKUP(B561,Lists!$A$2:$B$25,2,FALSE)&amp;"-"&amp;D561&amp;"-"&amp;TEXT(E561,"000"))</f>
        <v/>
      </c>
      <c r="E561">
        <f>IF(B561="","",COUNTIFS($B$2:B561,B561,$D$2:D561,D561))</f>
        <v/>
      </c>
    </row>
    <row r="562">
      <c r="A562">
        <f>IF(B562="","",VLOOKUP(B562,Lists!$A$2:$B$25,2,FALSE)&amp;"-"&amp;D562&amp;"-"&amp;TEXT(E562,"000"))</f>
        <v/>
      </c>
      <c r="E562">
        <f>IF(B562="","",COUNTIFS($B$2:B562,B562,$D$2:D562,D562))</f>
        <v/>
      </c>
    </row>
    <row r="563">
      <c r="A563">
        <f>IF(B563="","",VLOOKUP(B563,Lists!$A$2:$B$25,2,FALSE)&amp;"-"&amp;D563&amp;"-"&amp;TEXT(E563,"000"))</f>
        <v/>
      </c>
      <c r="E563">
        <f>IF(B563="","",COUNTIFS($B$2:B563,B563,$D$2:D563,D563))</f>
        <v/>
      </c>
    </row>
    <row r="564">
      <c r="A564">
        <f>IF(B564="","",VLOOKUP(B564,Lists!$A$2:$B$25,2,FALSE)&amp;"-"&amp;D564&amp;"-"&amp;TEXT(E564,"000"))</f>
        <v/>
      </c>
      <c r="E564">
        <f>IF(B564="","",COUNTIFS($B$2:B564,B564,$D$2:D564,D564))</f>
        <v/>
      </c>
    </row>
    <row r="565">
      <c r="A565">
        <f>IF(B565="","",VLOOKUP(B565,Lists!$A$2:$B$25,2,FALSE)&amp;"-"&amp;D565&amp;"-"&amp;TEXT(E565,"000"))</f>
        <v/>
      </c>
      <c r="E565">
        <f>IF(B565="","",COUNTIFS($B$2:B565,B565,$D$2:D565,D565))</f>
        <v/>
      </c>
    </row>
    <row r="566">
      <c r="A566">
        <f>IF(B566="","",VLOOKUP(B566,Lists!$A$2:$B$25,2,FALSE)&amp;"-"&amp;D566&amp;"-"&amp;TEXT(E566,"000"))</f>
        <v/>
      </c>
      <c r="E566">
        <f>IF(B566="","",COUNTIFS($B$2:B566,B566,$D$2:D566,D566))</f>
        <v/>
      </c>
    </row>
    <row r="567">
      <c r="A567">
        <f>IF(B567="","",VLOOKUP(B567,Lists!$A$2:$B$25,2,FALSE)&amp;"-"&amp;D567&amp;"-"&amp;TEXT(E567,"000"))</f>
        <v/>
      </c>
      <c r="E567">
        <f>IF(B567="","",COUNTIFS($B$2:B567,B567,$D$2:D567,D567))</f>
        <v/>
      </c>
    </row>
    <row r="568">
      <c r="A568">
        <f>IF(B568="","",VLOOKUP(B568,Lists!$A$2:$B$25,2,FALSE)&amp;"-"&amp;D568&amp;"-"&amp;TEXT(E568,"000"))</f>
        <v/>
      </c>
      <c r="E568">
        <f>IF(B568="","",COUNTIFS($B$2:B568,B568,$D$2:D568,D568))</f>
        <v/>
      </c>
    </row>
    <row r="569">
      <c r="A569">
        <f>IF(B569="","",VLOOKUP(B569,Lists!$A$2:$B$25,2,FALSE)&amp;"-"&amp;D569&amp;"-"&amp;TEXT(E569,"000"))</f>
        <v/>
      </c>
      <c r="E569">
        <f>IF(B569="","",COUNTIFS($B$2:B569,B569,$D$2:D569,D569))</f>
        <v/>
      </c>
    </row>
    <row r="570">
      <c r="A570">
        <f>IF(B570="","",VLOOKUP(B570,Lists!$A$2:$B$25,2,FALSE)&amp;"-"&amp;D570&amp;"-"&amp;TEXT(E570,"000"))</f>
        <v/>
      </c>
      <c r="E570">
        <f>IF(B570="","",COUNTIFS($B$2:B570,B570,$D$2:D570,D570))</f>
        <v/>
      </c>
    </row>
    <row r="571">
      <c r="A571">
        <f>IF(B571="","",VLOOKUP(B571,Lists!$A$2:$B$25,2,FALSE)&amp;"-"&amp;D571&amp;"-"&amp;TEXT(E571,"000"))</f>
        <v/>
      </c>
      <c r="E571">
        <f>IF(B571="","",COUNTIFS($B$2:B571,B571,$D$2:D571,D571))</f>
        <v/>
      </c>
    </row>
    <row r="572">
      <c r="A572">
        <f>IF(B572="","",VLOOKUP(B572,Lists!$A$2:$B$25,2,FALSE)&amp;"-"&amp;D572&amp;"-"&amp;TEXT(E572,"000"))</f>
        <v/>
      </c>
      <c r="E572">
        <f>IF(B572="","",COUNTIFS($B$2:B572,B572,$D$2:D572,D572))</f>
        <v/>
      </c>
    </row>
    <row r="573">
      <c r="A573">
        <f>IF(B573="","",VLOOKUP(B573,Lists!$A$2:$B$25,2,FALSE)&amp;"-"&amp;D573&amp;"-"&amp;TEXT(E573,"000"))</f>
        <v/>
      </c>
      <c r="E573">
        <f>IF(B573="","",COUNTIFS($B$2:B573,B573,$D$2:D573,D573))</f>
        <v/>
      </c>
    </row>
    <row r="574">
      <c r="A574">
        <f>IF(B574="","",VLOOKUP(B574,Lists!$A$2:$B$25,2,FALSE)&amp;"-"&amp;D574&amp;"-"&amp;TEXT(E574,"000"))</f>
        <v/>
      </c>
      <c r="E574">
        <f>IF(B574="","",COUNTIFS($B$2:B574,B574,$D$2:D574,D574))</f>
        <v/>
      </c>
    </row>
    <row r="575">
      <c r="A575">
        <f>IF(B575="","",VLOOKUP(B575,Lists!$A$2:$B$25,2,FALSE)&amp;"-"&amp;D575&amp;"-"&amp;TEXT(E575,"000"))</f>
        <v/>
      </c>
      <c r="E575">
        <f>IF(B575="","",COUNTIFS($B$2:B575,B575,$D$2:D575,D575))</f>
        <v/>
      </c>
    </row>
    <row r="576">
      <c r="A576">
        <f>IF(B576="","",VLOOKUP(B576,Lists!$A$2:$B$25,2,FALSE)&amp;"-"&amp;D576&amp;"-"&amp;TEXT(E576,"000"))</f>
        <v/>
      </c>
      <c r="E576">
        <f>IF(B576="","",COUNTIFS($B$2:B576,B576,$D$2:D576,D576))</f>
        <v/>
      </c>
    </row>
    <row r="577">
      <c r="A577">
        <f>IF(B577="","",VLOOKUP(B577,Lists!$A$2:$B$25,2,FALSE)&amp;"-"&amp;D577&amp;"-"&amp;TEXT(E577,"000"))</f>
        <v/>
      </c>
      <c r="E577">
        <f>IF(B577="","",COUNTIFS($B$2:B577,B577,$D$2:D577,D577))</f>
        <v/>
      </c>
    </row>
    <row r="578">
      <c r="A578">
        <f>IF(B578="","",VLOOKUP(B578,Lists!$A$2:$B$25,2,FALSE)&amp;"-"&amp;D578&amp;"-"&amp;TEXT(E578,"000"))</f>
        <v/>
      </c>
      <c r="E578">
        <f>IF(B578="","",COUNTIFS($B$2:B578,B578,$D$2:D578,D578))</f>
        <v/>
      </c>
    </row>
    <row r="579">
      <c r="A579">
        <f>IF(B579="","",VLOOKUP(B579,Lists!$A$2:$B$25,2,FALSE)&amp;"-"&amp;D579&amp;"-"&amp;TEXT(E579,"000"))</f>
        <v/>
      </c>
      <c r="E579">
        <f>IF(B579="","",COUNTIFS($B$2:B579,B579,$D$2:D579,D579))</f>
        <v/>
      </c>
    </row>
    <row r="580">
      <c r="A580">
        <f>IF(B580="","",VLOOKUP(B580,Lists!$A$2:$B$25,2,FALSE)&amp;"-"&amp;D580&amp;"-"&amp;TEXT(E580,"000"))</f>
        <v/>
      </c>
      <c r="E580">
        <f>IF(B580="","",COUNTIFS($B$2:B580,B580,$D$2:D580,D580))</f>
        <v/>
      </c>
    </row>
    <row r="581">
      <c r="A581">
        <f>IF(B581="","",VLOOKUP(B581,Lists!$A$2:$B$25,2,FALSE)&amp;"-"&amp;D581&amp;"-"&amp;TEXT(E581,"000"))</f>
        <v/>
      </c>
      <c r="E581">
        <f>IF(B581="","",COUNTIFS($B$2:B581,B581,$D$2:D581,D581))</f>
        <v/>
      </c>
    </row>
    <row r="582">
      <c r="A582">
        <f>IF(B582="","",VLOOKUP(B582,Lists!$A$2:$B$25,2,FALSE)&amp;"-"&amp;D582&amp;"-"&amp;TEXT(E582,"000"))</f>
        <v/>
      </c>
      <c r="E582">
        <f>IF(B582="","",COUNTIFS($B$2:B582,B582,$D$2:D582,D582))</f>
        <v/>
      </c>
    </row>
    <row r="583">
      <c r="A583">
        <f>IF(B583="","",VLOOKUP(B583,Lists!$A$2:$B$25,2,FALSE)&amp;"-"&amp;D583&amp;"-"&amp;TEXT(E583,"000"))</f>
        <v/>
      </c>
      <c r="E583">
        <f>IF(B583="","",COUNTIFS($B$2:B583,B583,$D$2:D583,D583))</f>
        <v/>
      </c>
    </row>
    <row r="584">
      <c r="A584">
        <f>IF(B584="","",VLOOKUP(B584,Lists!$A$2:$B$25,2,FALSE)&amp;"-"&amp;D584&amp;"-"&amp;TEXT(E584,"000"))</f>
        <v/>
      </c>
      <c r="E584">
        <f>IF(B584="","",COUNTIFS($B$2:B584,B584,$D$2:D584,D584))</f>
        <v/>
      </c>
    </row>
    <row r="585">
      <c r="A585">
        <f>IF(B585="","",VLOOKUP(B585,Lists!$A$2:$B$25,2,FALSE)&amp;"-"&amp;D585&amp;"-"&amp;TEXT(E585,"000"))</f>
        <v/>
      </c>
      <c r="E585">
        <f>IF(B585="","",COUNTIFS($B$2:B585,B585,$D$2:D585,D585))</f>
        <v/>
      </c>
    </row>
    <row r="586">
      <c r="A586">
        <f>IF(B586="","",VLOOKUP(B586,Lists!$A$2:$B$25,2,FALSE)&amp;"-"&amp;D586&amp;"-"&amp;TEXT(E586,"000"))</f>
        <v/>
      </c>
      <c r="E586">
        <f>IF(B586="","",COUNTIFS($B$2:B586,B586,$D$2:D586,D586))</f>
        <v/>
      </c>
    </row>
    <row r="587">
      <c r="A587">
        <f>IF(B587="","",VLOOKUP(B587,Lists!$A$2:$B$25,2,FALSE)&amp;"-"&amp;D587&amp;"-"&amp;TEXT(E587,"000"))</f>
        <v/>
      </c>
      <c r="E587">
        <f>IF(B587="","",COUNTIFS($B$2:B587,B587,$D$2:D587,D587))</f>
        <v/>
      </c>
    </row>
    <row r="588">
      <c r="A588">
        <f>IF(B588="","",VLOOKUP(B588,Lists!$A$2:$B$25,2,FALSE)&amp;"-"&amp;D588&amp;"-"&amp;TEXT(E588,"000"))</f>
        <v/>
      </c>
      <c r="E588">
        <f>IF(B588="","",COUNTIFS($B$2:B588,B588,$D$2:D588,D588))</f>
        <v/>
      </c>
    </row>
    <row r="589">
      <c r="A589">
        <f>IF(B589="","",VLOOKUP(B589,Lists!$A$2:$B$25,2,FALSE)&amp;"-"&amp;D589&amp;"-"&amp;TEXT(E589,"000"))</f>
        <v/>
      </c>
      <c r="E589">
        <f>IF(B589="","",COUNTIFS($B$2:B589,B589,$D$2:D589,D589))</f>
        <v/>
      </c>
    </row>
    <row r="590">
      <c r="A590">
        <f>IF(B590="","",VLOOKUP(B590,Lists!$A$2:$B$25,2,FALSE)&amp;"-"&amp;D590&amp;"-"&amp;TEXT(E590,"000"))</f>
        <v/>
      </c>
      <c r="E590">
        <f>IF(B590="","",COUNTIFS($B$2:B590,B590,$D$2:D590,D590))</f>
        <v/>
      </c>
    </row>
    <row r="591">
      <c r="A591">
        <f>IF(B591="","",VLOOKUP(B591,Lists!$A$2:$B$25,2,FALSE)&amp;"-"&amp;D591&amp;"-"&amp;TEXT(E591,"000"))</f>
        <v/>
      </c>
      <c r="E591">
        <f>IF(B591="","",COUNTIFS($B$2:B591,B591,$D$2:D591,D591))</f>
        <v/>
      </c>
    </row>
    <row r="592">
      <c r="A592">
        <f>IF(B592="","",VLOOKUP(B592,Lists!$A$2:$B$25,2,FALSE)&amp;"-"&amp;D592&amp;"-"&amp;TEXT(E592,"000"))</f>
        <v/>
      </c>
      <c r="E592">
        <f>IF(B592="","",COUNTIFS($B$2:B592,B592,$D$2:D592,D592))</f>
        <v/>
      </c>
    </row>
    <row r="593">
      <c r="A593">
        <f>IF(B593="","",VLOOKUP(B593,Lists!$A$2:$B$25,2,FALSE)&amp;"-"&amp;D593&amp;"-"&amp;TEXT(E593,"000"))</f>
        <v/>
      </c>
      <c r="E593">
        <f>IF(B593="","",COUNTIFS($B$2:B593,B593,$D$2:D593,D593))</f>
        <v/>
      </c>
    </row>
    <row r="594">
      <c r="A594">
        <f>IF(B594="","",VLOOKUP(B594,Lists!$A$2:$B$25,2,FALSE)&amp;"-"&amp;D594&amp;"-"&amp;TEXT(E594,"000"))</f>
        <v/>
      </c>
      <c r="E594">
        <f>IF(B594="","",COUNTIFS($B$2:B594,B594,$D$2:D594,D594))</f>
        <v/>
      </c>
    </row>
    <row r="595">
      <c r="A595">
        <f>IF(B595="","",VLOOKUP(B595,Lists!$A$2:$B$25,2,FALSE)&amp;"-"&amp;D595&amp;"-"&amp;TEXT(E595,"000"))</f>
        <v/>
      </c>
      <c r="E595">
        <f>IF(B595="","",COUNTIFS($B$2:B595,B595,$D$2:D595,D595))</f>
        <v/>
      </c>
    </row>
    <row r="596">
      <c r="A596">
        <f>IF(B596="","",VLOOKUP(B596,Lists!$A$2:$B$25,2,FALSE)&amp;"-"&amp;D596&amp;"-"&amp;TEXT(E596,"000"))</f>
        <v/>
      </c>
      <c r="E596">
        <f>IF(B596="","",COUNTIFS($B$2:B596,B596,$D$2:D596,D596))</f>
        <v/>
      </c>
    </row>
    <row r="597">
      <c r="A597">
        <f>IF(B597="","",VLOOKUP(B597,Lists!$A$2:$B$25,2,FALSE)&amp;"-"&amp;D597&amp;"-"&amp;TEXT(E597,"000"))</f>
        <v/>
      </c>
      <c r="E597">
        <f>IF(B597="","",COUNTIFS($B$2:B597,B597,$D$2:D597,D597))</f>
        <v/>
      </c>
    </row>
    <row r="598">
      <c r="A598">
        <f>IF(B598="","",VLOOKUP(B598,Lists!$A$2:$B$25,2,FALSE)&amp;"-"&amp;D598&amp;"-"&amp;TEXT(E598,"000"))</f>
        <v/>
      </c>
      <c r="E598">
        <f>IF(B598="","",COUNTIFS($B$2:B598,B598,$D$2:D598,D598))</f>
        <v/>
      </c>
    </row>
    <row r="599">
      <c r="A599">
        <f>IF(B599="","",VLOOKUP(B599,Lists!$A$2:$B$25,2,FALSE)&amp;"-"&amp;D599&amp;"-"&amp;TEXT(E599,"000"))</f>
        <v/>
      </c>
      <c r="E599">
        <f>IF(B599="","",COUNTIFS($B$2:B599,B599,$D$2:D599,D599))</f>
        <v/>
      </c>
    </row>
    <row r="600">
      <c r="A600">
        <f>IF(B600="","",VLOOKUP(B600,Lists!$A$2:$B$25,2,FALSE)&amp;"-"&amp;D600&amp;"-"&amp;TEXT(E600,"000"))</f>
        <v/>
      </c>
      <c r="E600">
        <f>IF(B600="","",COUNTIFS($B$2:B600,B600,$D$2:D600,D600))</f>
        <v/>
      </c>
    </row>
    <row r="601">
      <c r="A601">
        <f>IF(B601="","",VLOOKUP(B601,Lists!$A$2:$B$25,2,FALSE)&amp;"-"&amp;D601&amp;"-"&amp;TEXT(E601,"000"))</f>
        <v/>
      </c>
      <c r="E601">
        <f>IF(B601="","",COUNTIFS($B$2:B601,B601,$D$2:D601,D601))</f>
        <v/>
      </c>
    </row>
    <row r="602">
      <c r="A602">
        <f>IF(B602="","",VLOOKUP(B602,Lists!$A$2:$B$25,2,FALSE)&amp;"-"&amp;D602&amp;"-"&amp;TEXT(E602,"000"))</f>
        <v/>
      </c>
      <c r="E602">
        <f>IF(B602="","",COUNTIFS($B$2:B602,B602,$D$2:D602,D602))</f>
        <v/>
      </c>
    </row>
    <row r="603">
      <c r="A603">
        <f>IF(B603="","",VLOOKUP(B603,Lists!$A$2:$B$25,2,FALSE)&amp;"-"&amp;D603&amp;"-"&amp;TEXT(E603,"000"))</f>
        <v/>
      </c>
      <c r="E603">
        <f>IF(B603="","",COUNTIFS($B$2:B603,B603,$D$2:D603,D603))</f>
        <v/>
      </c>
    </row>
    <row r="604">
      <c r="A604">
        <f>IF(B604="","",VLOOKUP(B604,Lists!$A$2:$B$25,2,FALSE)&amp;"-"&amp;D604&amp;"-"&amp;TEXT(E604,"000"))</f>
        <v/>
      </c>
      <c r="E604">
        <f>IF(B604="","",COUNTIFS($B$2:B604,B604,$D$2:D604,D604))</f>
        <v/>
      </c>
    </row>
    <row r="605">
      <c r="A605">
        <f>IF(B605="","",VLOOKUP(B605,Lists!$A$2:$B$25,2,FALSE)&amp;"-"&amp;D605&amp;"-"&amp;TEXT(E605,"000"))</f>
        <v/>
      </c>
      <c r="E605">
        <f>IF(B605="","",COUNTIFS($B$2:B605,B605,$D$2:D605,D605))</f>
        <v/>
      </c>
    </row>
    <row r="606">
      <c r="A606">
        <f>IF(B606="","",VLOOKUP(B606,Lists!$A$2:$B$25,2,FALSE)&amp;"-"&amp;D606&amp;"-"&amp;TEXT(E606,"000"))</f>
        <v/>
      </c>
      <c r="E606">
        <f>IF(B606="","",COUNTIFS($B$2:B606,B606,$D$2:D606,D606))</f>
        <v/>
      </c>
    </row>
    <row r="607">
      <c r="A607">
        <f>IF(B607="","",VLOOKUP(B607,Lists!$A$2:$B$25,2,FALSE)&amp;"-"&amp;D607&amp;"-"&amp;TEXT(E607,"000"))</f>
        <v/>
      </c>
      <c r="E607">
        <f>IF(B607="","",COUNTIFS($B$2:B607,B607,$D$2:D607,D607))</f>
        <v/>
      </c>
    </row>
    <row r="608">
      <c r="A608">
        <f>IF(B608="","",VLOOKUP(B608,Lists!$A$2:$B$25,2,FALSE)&amp;"-"&amp;D608&amp;"-"&amp;TEXT(E608,"000"))</f>
        <v/>
      </c>
      <c r="E608">
        <f>IF(B608="","",COUNTIFS($B$2:B608,B608,$D$2:D608,D608))</f>
        <v/>
      </c>
    </row>
    <row r="609">
      <c r="A609">
        <f>IF(B609="","",VLOOKUP(B609,Lists!$A$2:$B$25,2,FALSE)&amp;"-"&amp;D609&amp;"-"&amp;TEXT(E609,"000"))</f>
        <v/>
      </c>
      <c r="E609">
        <f>IF(B609="","",COUNTIFS($B$2:B609,B609,$D$2:D609,D609))</f>
        <v/>
      </c>
    </row>
    <row r="610">
      <c r="A610">
        <f>IF(B610="","",VLOOKUP(B610,Lists!$A$2:$B$25,2,FALSE)&amp;"-"&amp;D610&amp;"-"&amp;TEXT(E610,"000"))</f>
        <v/>
      </c>
      <c r="E610">
        <f>IF(B610="","",COUNTIFS($B$2:B610,B610,$D$2:D610,D610))</f>
        <v/>
      </c>
    </row>
    <row r="611">
      <c r="A611">
        <f>IF(B611="","",VLOOKUP(B611,Lists!$A$2:$B$25,2,FALSE)&amp;"-"&amp;D611&amp;"-"&amp;TEXT(E611,"000"))</f>
        <v/>
      </c>
      <c r="E611">
        <f>IF(B611="","",COUNTIFS($B$2:B611,B611,$D$2:D611,D611))</f>
        <v/>
      </c>
    </row>
    <row r="612">
      <c r="A612">
        <f>IF(B612="","",VLOOKUP(B612,Lists!$A$2:$B$25,2,FALSE)&amp;"-"&amp;D612&amp;"-"&amp;TEXT(E612,"000"))</f>
        <v/>
      </c>
      <c r="E612">
        <f>IF(B612="","",COUNTIFS($B$2:B612,B612,$D$2:D612,D612))</f>
        <v/>
      </c>
    </row>
    <row r="613">
      <c r="A613">
        <f>IF(B613="","",VLOOKUP(B613,Lists!$A$2:$B$25,2,FALSE)&amp;"-"&amp;D613&amp;"-"&amp;TEXT(E613,"000"))</f>
        <v/>
      </c>
      <c r="E613">
        <f>IF(B613="","",COUNTIFS($B$2:B613,B613,$D$2:D613,D613))</f>
        <v/>
      </c>
    </row>
    <row r="614">
      <c r="A614">
        <f>IF(B614="","",VLOOKUP(B614,Lists!$A$2:$B$25,2,FALSE)&amp;"-"&amp;D614&amp;"-"&amp;TEXT(E614,"000"))</f>
        <v/>
      </c>
      <c r="E614">
        <f>IF(B614="","",COUNTIFS($B$2:B614,B614,$D$2:D614,D614))</f>
        <v/>
      </c>
    </row>
    <row r="615">
      <c r="A615">
        <f>IF(B615="","",VLOOKUP(B615,Lists!$A$2:$B$25,2,FALSE)&amp;"-"&amp;D615&amp;"-"&amp;TEXT(E615,"000"))</f>
        <v/>
      </c>
      <c r="E615">
        <f>IF(B615="","",COUNTIFS($B$2:B615,B615,$D$2:D615,D615))</f>
        <v/>
      </c>
    </row>
    <row r="616">
      <c r="A616">
        <f>IF(B616="","",VLOOKUP(B616,Lists!$A$2:$B$25,2,FALSE)&amp;"-"&amp;D616&amp;"-"&amp;TEXT(E616,"000"))</f>
        <v/>
      </c>
      <c r="E616">
        <f>IF(B616="","",COUNTIFS($B$2:B616,B616,$D$2:D616,D616))</f>
        <v/>
      </c>
    </row>
    <row r="617">
      <c r="A617">
        <f>IF(B617="","",VLOOKUP(B617,Lists!$A$2:$B$25,2,FALSE)&amp;"-"&amp;D617&amp;"-"&amp;TEXT(E617,"000"))</f>
        <v/>
      </c>
      <c r="E617">
        <f>IF(B617="","",COUNTIFS($B$2:B617,B617,$D$2:D617,D617))</f>
        <v/>
      </c>
    </row>
    <row r="618">
      <c r="A618">
        <f>IF(B618="","",VLOOKUP(B618,Lists!$A$2:$B$25,2,FALSE)&amp;"-"&amp;D618&amp;"-"&amp;TEXT(E618,"000"))</f>
        <v/>
      </c>
      <c r="E618">
        <f>IF(B618="","",COUNTIFS($B$2:B618,B618,$D$2:D618,D618))</f>
        <v/>
      </c>
    </row>
    <row r="619">
      <c r="A619">
        <f>IF(B619="","",VLOOKUP(B619,Lists!$A$2:$B$25,2,FALSE)&amp;"-"&amp;D619&amp;"-"&amp;TEXT(E619,"000"))</f>
        <v/>
      </c>
      <c r="E619">
        <f>IF(B619="","",COUNTIFS($B$2:B619,B619,$D$2:D619,D619))</f>
        <v/>
      </c>
    </row>
    <row r="620">
      <c r="A620">
        <f>IF(B620="","",VLOOKUP(B620,Lists!$A$2:$B$25,2,FALSE)&amp;"-"&amp;D620&amp;"-"&amp;TEXT(E620,"000"))</f>
        <v/>
      </c>
      <c r="E620">
        <f>IF(B620="","",COUNTIFS($B$2:B620,B620,$D$2:D620,D620))</f>
        <v/>
      </c>
    </row>
    <row r="621">
      <c r="A621">
        <f>IF(B621="","",VLOOKUP(B621,Lists!$A$2:$B$25,2,FALSE)&amp;"-"&amp;D621&amp;"-"&amp;TEXT(E621,"000"))</f>
        <v/>
      </c>
      <c r="E621">
        <f>IF(B621="","",COUNTIFS($B$2:B621,B621,$D$2:D621,D621))</f>
        <v/>
      </c>
    </row>
    <row r="622">
      <c r="A622">
        <f>IF(B622="","",VLOOKUP(B622,Lists!$A$2:$B$25,2,FALSE)&amp;"-"&amp;D622&amp;"-"&amp;TEXT(E622,"000"))</f>
        <v/>
      </c>
      <c r="E622">
        <f>IF(B622="","",COUNTIFS($B$2:B622,B622,$D$2:D622,D622))</f>
        <v/>
      </c>
    </row>
    <row r="623">
      <c r="A623">
        <f>IF(B623="","",VLOOKUP(B623,Lists!$A$2:$B$25,2,FALSE)&amp;"-"&amp;D623&amp;"-"&amp;TEXT(E623,"000"))</f>
        <v/>
      </c>
      <c r="E623">
        <f>IF(B623="","",COUNTIFS($B$2:B623,B623,$D$2:D623,D623))</f>
        <v/>
      </c>
    </row>
    <row r="624">
      <c r="A624">
        <f>IF(B624="","",VLOOKUP(B624,Lists!$A$2:$B$25,2,FALSE)&amp;"-"&amp;D624&amp;"-"&amp;TEXT(E624,"000"))</f>
        <v/>
      </c>
      <c r="E624">
        <f>IF(B624="","",COUNTIFS($B$2:B624,B624,$D$2:D624,D624))</f>
        <v/>
      </c>
    </row>
    <row r="625">
      <c r="A625">
        <f>IF(B625="","",VLOOKUP(B625,Lists!$A$2:$B$25,2,FALSE)&amp;"-"&amp;D625&amp;"-"&amp;TEXT(E625,"000"))</f>
        <v/>
      </c>
      <c r="E625">
        <f>IF(B625="","",COUNTIFS($B$2:B625,B625,$D$2:D625,D625))</f>
        <v/>
      </c>
    </row>
    <row r="626">
      <c r="A626">
        <f>IF(B626="","",VLOOKUP(B626,Lists!$A$2:$B$25,2,FALSE)&amp;"-"&amp;D626&amp;"-"&amp;TEXT(E626,"000"))</f>
        <v/>
      </c>
      <c r="E626">
        <f>IF(B626="","",COUNTIFS($B$2:B626,B626,$D$2:D626,D626))</f>
        <v/>
      </c>
    </row>
    <row r="627">
      <c r="A627">
        <f>IF(B627="","",VLOOKUP(B627,Lists!$A$2:$B$25,2,FALSE)&amp;"-"&amp;D627&amp;"-"&amp;TEXT(E627,"000"))</f>
        <v/>
      </c>
      <c r="E627">
        <f>IF(B627="","",COUNTIFS($B$2:B627,B627,$D$2:D627,D627))</f>
        <v/>
      </c>
    </row>
    <row r="628">
      <c r="A628">
        <f>IF(B628="","",VLOOKUP(B628,Lists!$A$2:$B$25,2,FALSE)&amp;"-"&amp;D628&amp;"-"&amp;TEXT(E628,"000"))</f>
        <v/>
      </c>
      <c r="E628">
        <f>IF(B628="","",COUNTIFS($B$2:B628,B628,$D$2:D628,D628))</f>
        <v/>
      </c>
    </row>
    <row r="629">
      <c r="A629">
        <f>IF(B629="","",VLOOKUP(B629,Lists!$A$2:$B$25,2,FALSE)&amp;"-"&amp;D629&amp;"-"&amp;TEXT(E629,"000"))</f>
        <v/>
      </c>
      <c r="E629">
        <f>IF(B629="","",COUNTIFS($B$2:B629,B629,$D$2:D629,D629))</f>
        <v/>
      </c>
    </row>
    <row r="630">
      <c r="A630">
        <f>IF(B630="","",VLOOKUP(B630,Lists!$A$2:$B$25,2,FALSE)&amp;"-"&amp;D630&amp;"-"&amp;TEXT(E630,"000"))</f>
        <v/>
      </c>
      <c r="E630">
        <f>IF(B630="","",COUNTIFS($B$2:B630,B630,$D$2:D630,D630))</f>
        <v/>
      </c>
    </row>
    <row r="631">
      <c r="A631">
        <f>IF(B631="","",VLOOKUP(B631,Lists!$A$2:$B$25,2,FALSE)&amp;"-"&amp;D631&amp;"-"&amp;TEXT(E631,"000"))</f>
        <v/>
      </c>
      <c r="E631">
        <f>IF(B631="","",COUNTIFS($B$2:B631,B631,$D$2:D631,D631))</f>
        <v/>
      </c>
    </row>
    <row r="632">
      <c r="A632">
        <f>IF(B632="","",VLOOKUP(B632,Lists!$A$2:$B$25,2,FALSE)&amp;"-"&amp;D632&amp;"-"&amp;TEXT(E632,"000"))</f>
        <v/>
      </c>
      <c r="E632">
        <f>IF(B632="","",COUNTIFS($B$2:B632,B632,$D$2:D632,D632))</f>
        <v/>
      </c>
    </row>
    <row r="633">
      <c r="A633">
        <f>IF(B633="","",VLOOKUP(B633,Lists!$A$2:$B$25,2,FALSE)&amp;"-"&amp;D633&amp;"-"&amp;TEXT(E633,"000"))</f>
        <v/>
      </c>
      <c r="E633">
        <f>IF(B633="","",COUNTIFS($B$2:B633,B633,$D$2:D633,D633))</f>
        <v/>
      </c>
    </row>
    <row r="634">
      <c r="A634">
        <f>IF(B634="","",VLOOKUP(B634,Lists!$A$2:$B$25,2,FALSE)&amp;"-"&amp;D634&amp;"-"&amp;TEXT(E634,"000"))</f>
        <v/>
      </c>
      <c r="E634">
        <f>IF(B634="","",COUNTIFS($B$2:B634,B634,$D$2:D634,D634))</f>
        <v/>
      </c>
    </row>
    <row r="635">
      <c r="A635">
        <f>IF(B635="","",VLOOKUP(B635,Lists!$A$2:$B$25,2,FALSE)&amp;"-"&amp;D635&amp;"-"&amp;TEXT(E635,"000"))</f>
        <v/>
      </c>
      <c r="E635">
        <f>IF(B635="","",COUNTIFS($B$2:B635,B635,$D$2:D635,D635))</f>
        <v/>
      </c>
    </row>
    <row r="636">
      <c r="A636">
        <f>IF(B636="","",VLOOKUP(B636,Lists!$A$2:$B$25,2,FALSE)&amp;"-"&amp;D636&amp;"-"&amp;TEXT(E636,"000"))</f>
        <v/>
      </c>
      <c r="E636">
        <f>IF(B636="","",COUNTIFS($B$2:B636,B636,$D$2:D636,D636))</f>
        <v/>
      </c>
    </row>
    <row r="637">
      <c r="A637">
        <f>IF(B637="","",VLOOKUP(B637,Lists!$A$2:$B$25,2,FALSE)&amp;"-"&amp;D637&amp;"-"&amp;TEXT(E637,"000"))</f>
        <v/>
      </c>
      <c r="E637">
        <f>IF(B637="","",COUNTIFS($B$2:B637,B637,$D$2:D637,D637))</f>
        <v/>
      </c>
    </row>
    <row r="638">
      <c r="A638">
        <f>IF(B638="","",VLOOKUP(B638,Lists!$A$2:$B$25,2,FALSE)&amp;"-"&amp;D638&amp;"-"&amp;TEXT(E638,"000"))</f>
        <v/>
      </c>
      <c r="E638">
        <f>IF(B638="","",COUNTIFS($B$2:B638,B638,$D$2:D638,D638))</f>
        <v/>
      </c>
    </row>
    <row r="639">
      <c r="A639">
        <f>IF(B639="","",VLOOKUP(B639,Lists!$A$2:$B$25,2,FALSE)&amp;"-"&amp;D639&amp;"-"&amp;TEXT(E639,"000"))</f>
        <v/>
      </c>
      <c r="E639">
        <f>IF(B639="","",COUNTIFS($B$2:B639,B639,$D$2:D639,D639))</f>
        <v/>
      </c>
    </row>
    <row r="640">
      <c r="A640">
        <f>IF(B640="","",VLOOKUP(B640,Lists!$A$2:$B$25,2,FALSE)&amp;"-"&amp;D640&amp;"-"&amp;TEXT(E640,"000"))</f>
        <v/>
      </c>
      <c r="E640">
        <f>IF(B640="","",COUNTIFS($B$2:B640,B640,$D$2:D640,D640))</f>
        <v/>
      </c>
    </row>
    <row r="641">
      <c r="A641">
        <f>IF(B641="","",VLOOKUP(B641,Lists!$A$2:$B$25,2,FALSE)&amp;"-"&amp;D641&amp;"-"&amp;TEXT(E641,"000"))</f>
        <v/>
      </c>
      <c r="E641">
        <f>IF(B641="","",COUNTIFS($B$2:B641,B641,$D$2:D641,D641))</f>
        <v/>
      </c>
    </row>
    <row r="642">
      <c r="A642">
        <f>IF(B642="","",VLOOKUP(B642,Lists!$A$2:$B$25,2,FALSE)&amp;"-"&amp;D642&amp;"-"&amp;TEXT(E642,"000"))</f>
        <v/>
      </c>
      <c r="E642">
        <f>IF(B642="","",COUNTIFS($B$2:B642,B642,$D$2:D642,D642))</f>
        <v/>
      </c>
    </row>
    <row r="643">
      <c r="A643">
        <f>IF(B643="","",VLOOKUP(B643,Lists!$A$2:$B$25,2,FALSE)&amp;"-"&amp;D643&amp;"-"&amp;TEXT(E643,"000"))</f>
        <v/>
      </c>
      <c r="E643">
        <f>IF(B643="","",COUNTIFS($B$2:B643,B643,$D$2:D643,D643))</f>
        <v/>
      </c>
    </row>
    <row r="644">
      <c r="A644">
        <f>IF(B644="","",VLOOKUP(B644,Lists!$A$2:$B$25,2,FALSE)&amp;"-"&amp;D644&amp;"-"&amp;TEXT(E644,"000"))</f>
        <v/>
      </c>
      <c r="E644">
        <f>IF(B644="","",COUNTIFS($B$2:B644,B644,$D$2:D644,D644))</f>
        <v/>
      </c>
    </row>
    <row r="645">
      <c r="A645">
        <f>IF(B645="","",VLOOKUP(B645,Lists!$A$2:$B$25,2,FALSE)&amp;"-"&amp;D645&amp;"-"&amp;TEXT(E645,"000"))</f>
        <v/>
      </c>
      <c r="E645">
        <f>IF(B645="","",COUNTIFS($B$2:B645,B645,$D$2:D645,D645))</f>
        <v/>
      </c>
    </row>
    <row r="646">
      <c r="A646">
        <f>IF(B646="","",VLOOKUP(B646,Lists!$A$2:$B$25,2,FALSE)&amp;"-"&amp;D646&amp;"-"&amp;TEXT(E646,"000"))</f>
        <v/>
      </c>
      <c r="E646">
        <f>IF(B646="","",COUNTIFS($B$2:B646,B646,$D$2:D646,D646))</f>
        <v/>
      </c>
    </row>
    <row r="647">
      <c r="A647">
        <f>IF(B647="","",VLOOKUP(B647,Lists!$A$2:$B$25,2,FALSE)&amp;"-"&amp;D647&amp;"-"&amp;TEXT(E647,"000"))</f>
        <v/>
      </c>
      <c r="E647">
        <f>IF(B647="","",COUNTIFS($B$2:B647,B647,$D$2:D647,D647))</f>
        <v/>
      </c>
    </row>
    <row r="648">
      <c r="A648">
        <f>IF(B648="","",VLOOKUP(B648,Lists!$A$2:$B$25,2,FALSE)&amp;"-"&amp;D648&amp;"-"&amp;TEXT(E648,"000"))</f>
        <v/>
      </c>
      <c r="E648">
        <f>IF(B648="","",COUNTIFS($B$2:B648,B648,$D$2:D648,D648))</f>
        <v/>
      </c>
    </row>
    <row r="649">
      <c r="A649">
        <f>IF(B649="","",VLOOKUP(B649,Lists!$A$2:$B$25,2,FALSE)&amp;"-"&amp;D649&amp;"-"&amp;TEXT(E649,"000"))</f>
        <v/>
      </c>
      <c r="E649">
        <f>IF(B649="","",COUNTIFS($B$2:B649,B649,$D$2:D649,D649))</f>
        <v/>
      </c>
    </row>
    <row r="650">
      <c r="A650">
        <f>IF(B650="","",VLOOKUP(B650,Lists!$A$2:$B$25,2,FALSE)&amp;"-"&amp;D650&amp;"-"&amp;TEXT(E650,"000"))</f>
        <v/>
      </c>
      <c r="E650">
        <f>IF(B650="","",COUNTIFS($B$2:B650,B650,$D$2:D650,D650))</f>
        <v/>
      </c>
    </row>
    <row r="651">
      <c r="A651">
        <f>IF(B651="","",VLOOKUP(B651,Lists!$A$2:$B$25,2,FALSE)&amp;"-"&amp;D651&amp;"-"&amp;TEXT(E651,"000"))</f>
        <v/>
      </c>
      <c r="E651">
        <f>IF(B651="","",COUNTIFS($B$2:B651,B651,$D$2:D651,D651))</f>
        <v/>
      </c>
    </row>
    <row r="652">
      <c r="A652">
        <f>IF(B652="","",VLOOKUP(B652,Lists!$A$2:$B$25,2,FALSE)&amp;"-"&amp;D652&amp;"-"&amp;TEXT(E652,"000"))</f>
        <v/>
      </c>
      <c r="E652">
        <f>IF(B652="","",COUNTIFS($B$2:B652,B652,$D$2:D652,D652))</f>
        <v/>
      </c>
    </row>
    <row r="653">
      <c r="A653">
        <f>IF(B653="","",VLOOKUP(B653,Lists!$A$2:$B$25,2,FALSE)&amp;"-"&amp;D653&amp;"-"&amp;TEXT(E653,"000"))</f>
        <v/>
      </c>
      <c r="E653">
        <f>IF(B653="","",COUNTIFS($B$2:B653,B653,$D$2:D653,D653))</f>
        <v/>
      </c>
    </row>
    <row r="654">
      <c r="A654">
        <f>IF(B654="","",VLOOKUP(B654,Lists!$A$2:$B$25,2,FALSE)&amp;"-"&amp;D654&amp;"-"&amp;TEXT(E654,"000"))</f>
        <v/>
      </c>
      <c r="E654">
        <f>IF(B654="","",COUNTIFS($B$2:B654,B654,$D$2:D654,D654))</f>
        <v/>
      </c>
    </row>
    <row r="655">
      <c r="A655">
        <f>IF(B655="","",VLOOKUP(B655,Lists!$A$2:$B$25,2,FALSE)&amp;"-"&amp;D655&amp;"-"&amp;TEXT(E655,"000"))</f>
        <v/>
      </c>
      <c r="E655">
        <f>IF(B655="","",COUNTIFS($B$2:B655,B655,$D$2:D655,D655))</f>
        <v/>
      </c>
    </row>
    <row r="656">
      <c r="A656">
        <f>IF(B656="","",VLOOKUP(B656,Lists!$A$2:$B$25,2,FALSE)&amp;"-"&amp;D656&amp;"-"&amp;TEXT(E656,"000"))</f>
        <v/>
      </c>
      <c r="E656">
        <f>IF(B656="","",COUNTIFS($B$2:B656,B656,$D$2:D656,D656))</f>
        <v/>
      </c>
    </row>
    <row r="657">
      <c r="A657">
        <f>IF(B657="","",VLOOKUP(B657,Lists!$A$2:$B$25,2,FALSE)&amp;"-"&amp;D657&amp;"-"&amp;TEXT(E657,"000"))</f>
        <v/>
      </c>
      <c r="E657">
        <f>IF(B657="","",COUNTIFS($B$2:B657,B657,$D$2:D657,D657))</f>
        <v/>
      </c>
    </row>
    <row r="658">
      <c r="A658">
        <f>IF(B658="","",VLOOKUP(B658,Lists!$A$2:$B$25,2,FALSE)&amp;"-"&amp;D658&amp;"-"&amp;TEXT(E658,"000"))</f>
        <v/>
      </c>
      <c r="E658">
        <f>IF(B658="","",COUNTIFS($B$2:B658,B658,$D$2:D658,D658))</f>
        <v/>
      </c>
    </row>
    <row r="659">
      <c r="A659">
        <f>IF(B659="","",VLOOKUP(B659,Lists!$A$2:$B$25,2,FALSE)&amp;"-"&amp;D659&amp;"-"&amp;TEXT(E659,"000"))</f>
        <v/>
      </c>
      <c r="E659">
        <f>IF(B659="","",COUNTIFS($B$2:B659,B659,$D$2:D659,D659))</f>
        <v/>
      </c>
    </row>
    <row r="660">
      <c r="A660">
        <f>IF(B660="","",VLOOKUP(B660,Lists!$A$2:$B$25,2,FALSE)&amp;"-"&amp;D660&amp;"-"&amp;TEXT(E660,"000"))</f>
        <v/>
      </c>
      <c r="E660">
        <f>IF(B660="","",COUNTIFS($B$2:B660,B660,$D$2:D660,D660))</f>
        <v/>
      </c>
    </row>
    <row r="661">
      <c r="A661">
        <f>IF(B661="","",VLOOKUP(B661,Lists!$A$2:$B$25,2,FALSE)&amp;"-"&amp;D661&amp;"-"&amp;TEXT(E661,"000"))</f>
        <v/>
      </c>
      <c r="E661">
        <f>IF(B661="","",COUNTIFS($B$2:B661,B661,$D$2:D661,D661))</f>
        <v/>
      </c>
    </row>
    <row r="662">
      <c r="A662">
        <f>IF(B662="","",VLOOKUP(B662,Lists!$A$2:$B$25,2,FALSE)&amp;"-"&amp;D662&amp;"-"&amp;TEXT(E662,"000"))</f>
        <v/>
      </c>
      <c r="E662">
        <f>IF(B662="","",COUNTIFS($B$2:B662,B662,$D$2:D662,D662))</f>
        <v/>
      </c>
    </row>
    <row r="663">
      <c r="A663">
        <f>IF(B663="","",VLOOKUP(B663,Lists!$A$2:$B$25,2,FALSE)&amp;"-"&amp;D663&amp;"-"&amp;TEXT(E663,"000"))</f>
        <v/>
      </c>
      <c r="E663">
        <f>IF(B663="","",COUNTIFS($B$2:B663,B663,$D$2:D663,D663))</f>
        <v/>
      </c>
    </row>
    <row r="664">
      <c r="A664">
        <f>IF(B664="","",VLOOKUP(B664,Lists!$A$2:$B$25,2,FALSE)&amp;"-"&amp;D664&amp;"-"&amp;TEXT(E664,"000"))</f>
        <v/>
      </c>
      <c r="E664">
        <f>IF(B664="","",COUNTIFS($B$2:B664,B664,$D$2:D664,D664))</f>
        <v/>
      </c>
    </row>
    <row r="665">
      <c r="A665">
        <f>IF(B665="","",VLOOKUP(B665,Lists!$A$2:$B$25,2,FALSE)&amp;"-"&amp;D665&amp;"-"&amp;TEXT(E665,"000"))</f>
        <v/>
      </c>
      <c r="E665">
        <f>IF(B665="","",COUNTIFS($B$2:B665,B665,$D$2:D665,D665))</f>
        <v/>
      </c>
    </row>
    <row r="666">
      <c r="A666">
        <f>IF(B666="","",VLOOKUP(B666,Lists!$A$2:$B$25,2,FALSE)&amp;"-"&amp;D666&amp;"-"&amp;TEXT(E666,"000"))</f>
        <v/>
      </c>
      <c r="E666">
        <f>IF(B666="","",COUNTIFS($B$2:B666,B666,$D$2:D666,D666))</f>
        <v/>
      </c>
    </row>
    <row r="667">
      <c r="A667">
        <f>IF(B667="","",VLOOKUP(B667,Lists!$A$2:$B$25,2,FALSE)&amp;"-"&amp;D667&amp;"-"&amp;TEXT(E667,"000"))</f>
        <v/>
      </c>
      <c r="E667">
        <f>IF(B667="","",COUNTIFS($B$2:B667,B667,$D$2:D667,D667))</f>
        <v/>
      </c>
    </row>
    <row r="668">
      <c r="A668">
        <f>IF(B668="","",VLOOKUP(B668,Lists!$A$2:$B$25,2,FALSE)&amp;"-"&amp;D668&amp;"-"&amp;TEXT(E668,"000"))</f>
        <v/>
      </c>
      <c r="E668">
        <f>IF(B668="","",COUNTIFS($B$2:B668,B668,$D$2:D668,D668))</f>
        <v/>
      </c>
    </row>
    <row r="669">
      <c r="A669">
        <f>IF(B669="","",VLOOKUP(B669,Lists!$A$2:$B$25,2,FALSE)&amp;"-"&amp;D669&amp;"-"&amp;TEXT(E669,"000"))</f>
        <v/>
      </c>
      <c r="E669">
        <f>IF(B669="","",COUNTIFS($B$2:B669,B669,$D$2:D669,D669))</f>
        <v/>
      </c>
    </row>
    <row r="670">
      <c r="A670">
        <f>IF(B670="","",VLOOKUP(B670,Lists!$A$2:$B$25,2,FALSE)&amp;"-"&amp;D670&amp;"-"&amp;TEXT(E670,"000"))</f>
        <v/>
      </c>
      <c r="E670">
        <f>IF(B670="","",COUNTIFS($B$2:B670,B670,$D$2:D670,D670))</f>
        <v/>
      </c>
    </row>
    <row r="671">
      <c r="A671">
        <f>IF(B671="","",VLOOKUP(B671,Lists!$A$2:$B$25,2,FALSE)&amp;"-"&amp;D671&amp;"-"&amp;TEXT(E671,"000"))</f>
        <v/>
      </c>
      <c r="E671">
        <f>IF(B671="","",COUNTIFS($B$2:B671,B671,$D$2:D671,D671))</f>
        <v/>
      </c>
    </row>
    <row r="672">
      <c r="A672">
        <f>IF(B672="","",VLOOKUP(B672,Lists!$A$2:$B$25,2,FALSE)&amp;"-"&amp;D672&amp;"-"&amp;TEXT(E672,"000"))</f>
        <v/>
      </c>
      <c r="E672">
        <f>IF(B672="","",COUNTIFS($B$2:B672,B672,$D$2:D672,D672))</f>
        <v/>
      </c>
    </row>
    <row r="673">
      <c r="A673">
        <f>IF(B673="","",VLOOKUP(B673,Lists!$A$2:$B$25,2,FALSE)&amp;"-"&amp;D673&amp;"-"&amp;TEXT(E673,"000"))</f>
        <v/>
      </c>
      <c r="E673">
        <f>IF(B673="","",COUNTIFS($B$2:B673,B673,$D$2:D673,D673))</f>
        <v/>
      </c>
    </row>
    <row r="674">
      <c r="A674">
        <f>IF(B674="","",VLOOKUP(B674,Lists!$A$2:$B$25,2,FALSE)&amp;"-"&amp;D674&amp;"-"&amp;TEXT(E674,"000"))</f>
        <v/>
      </c>
      <c r="E674">
        <f>IF(B674="","",COUNTIFS($B$2:B674,B674,$D$2:D674,D674))</f>
        <v/>
      </c>
    </row>
    <row r="675">
      <c r="A675">
        <f>IF(B675="","",VLOOKUP(B675,Lists!$A$2:$B$25,2,FALSE)&amp;"-"&amp;D675&amp;"-"&amp;TEXT(E675,"000"))</f>
        <v/>
      </c>
      <c r="E675">
        <f>IF(B675="","",COUNTIFS($B$2:B675,B675,$D$2:D675,D675))</f>
        <v/>
      </c>
    </row>
    <row r="676">
      <c r="A676">
        <f>IF(B676="","",VLOOKUP(B676,Lists!$A$2:$B$25,2,FALSE)&amp;"-"&amp;D676&amp;"-"&amp;TEXT(E676,"000"))</f>
        <v/>
      </c>
      <c r="E676">
        <f>IF(B676="","",COUNTIFS($B$2:B676,B676,$D$2:D676,D676))</f>
        <v/>
      </c>
    </row>
    <row r="677">
      <c r="A677">
        <f>IF(B677="","",VLOOKUP(B677,Lists!$A$2:$B$25,2,FALSE)&amp;"-"&amp;D677&amp;"-"&amp;TEXT(E677,"000"))</f>
        <v/>
      </c>
      <c r="E677">
        <f>IF(B677="","",COUNTIFS($B$2:B677,B677,$D$2:D677,D677))</f>
        <v/>
      </c>
    </row>
    <row r="678">
      <c r="A678">
        <f>IF(B678="","",VLOOKUP(B678,Lists!$A$2:$B$25,2,FALSE)&amp;"-"&amp;D678&amp;"-"&amp;TEXT(E678,"000"))</f>
        <v/>
      </c>
      <c r="E678">
        <f>IF(B678="","",COUNTIFS($B$2:B678,B678,$D$2:D678,D678))</f>
        <v/>
      </c>
    </row>
    <row r="679">
      <c r="A679">
        <f>IF(B679="","",VLOOKUP(B679,Lists!$A$2:$B$25,2,FALSE)&amp;"-"&amp;D679&amp;"-"&amp;TEXT(E679,"000"))</f>
        <v/>
      </c>
      <c r="E679">
        <f>IF(B679="","",COUNTIFS($B$2:B679,B679,$D$2:D679,D679))</f>
        <v/>
      </c>
    </row>
    <row r="680">
      <c r="A680">
        <f>IF(B680="","",VLOOKUP(B680,Lists!$A$2:$B$25,2,FALSE)&amp;"-"&amp;D680&amp;"-"&amp;TEXT(E680,"000"))</f>
        <v/>
      </c>
      <c r="E680">
        <f>IF(B680="","",COUNTIFS($B$2:B680,B680,$D$2:D680,D680))</f>
        <v/>
      </c>
    </row>
    <row r="681">
      <c r="A681">
        <f>IF(B681="","",VLOOKUP(B681,Lists!$A$2:$B$25,2,FALSE)&amp;"-"&amp;D681&amp;"-"&amp;TEXT(E681,"000"))</f>
        <v/>
      </c>
      <c r="E681">
        <f>IF(B681="","",COUNTIFS($B$2:B681,B681,$D$2:D681,D681))</f>
        <v/>
      </c>
    </row>
    <row r="682">
      <c r="A682">
        <f>IF(B682="","",VLOOKUP(B682,Lists!$A$2:$B$25,2,FALSE)&amp;"-"&amp;D682&amp;"-"&amp;TEXT(E682,"000"))</f>
        <v/>
      </c>
      <c r="E682">
        <f>IF(B682="","",COUNTIFS($B$2:B682,B682,$D$2:D682,D682))</f>
        <v/>
      </c>
    </row>
    <row r="683">
      <c r="A683">
        <f>IF(B683="","",VLOOKUP(B683,Lists!$A$2:$B$25,2,FALSE)&amp;"-"&amp;D683&amp;"-"&amp;TEXT(E683,"000"))</f>
        <v/>
      </c>
      <c r="E683">
        <f>IF(B683="","",COUNTIFS($B$2:B683,B683,$D$2:D683,D683))</f>
        <v/>
      </c>
    </row>
    <row r="684">
      <c r="A684">
        <f>IF(B684="","",VLOOKUP(B684,Lists!$A$2:$B$25,2,FALSE)&amp;"-"&amp;D684&amp;"-"&amp;TEXT(E684,"000"))</f>
        <v/>
      </c>
      <c r="E684">
        <f>IF(B684="","",COUNTIFS($B$2:B684,B684,$D$2:D684,D684))</f>
        <v/>
      </c>
    </row>
    <row r="685">
      <c r="A685">
        <f>IF(B685="","",VLOOKUP(B685,Lists!$A$2:$B$25,2,FALSE)&amp;"-"&amp;D685&amp;"-"&amp;TEXT(E685,"000"))</f>
        <v/>
      </c>
      <c r="E685">
        <f>IF(B685="","",COUNTIFS($B$2:B685,B685,$D$2:D685,D685))</f>
        <v/>
      </c>
    </row>
    <row r="686">
      <c r="A686">
        <f>IF(B686="","",VLOOKUP(B686,Lists!$A$2:$B$25,2,FALSE)&amp;"-"&amp;D686&amp;"-"&amp;TEXT(E686,"000"))</f>
        <v/>
      </c>
      <c r="E686">
        <f>IF(B686="","",COUNTIFS($B$2:B686,B686,$D$2:D686,D686))</f>
        <v/>
      </c>
    </row>
    <row r="687">
      <c r="A687">
        <f>IF(B687="","",VLOOKUP(B687,Lists!$A$2:$B$25,2,FALSE)&amp;"-"&amp;D687&amp;"-"&amp;TEXT(E687,"000"))</f>
        <v/>
      </c>
      <c r="E687">
        <f>IF(B687="","",COUNTIFS($B$2:B687,B687,$D$2:D687,D687))</f>
        <v/>
      </c>
    </row>
    <row r="688">
      <c r="A688">
        <f>IF(B688="","",VLOOKUP(B688,Lists!$A$2:$B$25,2,FALSE)&amp;"-"&amp;D688&amp;"-"&amp;TEXT(E688,"000"))</f>
        <v/>
      </c>
      <c r="E688">
        <f>IF(B688="","",COUNTIFS($B$2:B688,B688,$D$2:D688,D688))</f>
        <v/>
      </c>
    </row>
    <row r="689">
      <c r="A689">
        <f>IF(B689="","",VLOOKUP(B689,Lists!$A$2:$B$25,2,FALSE)&amp;"-"&amp;D689&amp;"-"&amp;TEXT(E689,"000"))</f>
        <v/>
      </c>
      <c r="E689">
        <f>IF(B689="","",COUNTIFS($B$2:B689,B689,$D$2:D689,D689))</f>
        <v/>
      </c>
    </row>
    <row r="690">
      <c r="A690">
        <f>IF(B690="","",VLOOKUP(B690,Lists!$A$2:$B$25,2,FALSE)&amp;"-"&amp;D690&amp;"-"&amp;TEXT(E690,"000"))</f>
        <v/>
      </c>
      <c r="E690">
        <f>IF(B690="","",COUNTIFS($B$2:B690,B690,$D$2:D690,D690))</f>
        <v/>
      </c>
    </row>
    <row r="691">
      <c r="A691">
        <f>IF(B691="","",VLOOKUP(B691,Lists!$A$2:$B$25,2,FALSE)&amp;"-"&amp;D691&amp;"-"&amp;TEXT(E691,"000"))</f>
        <v/>
      </c>
      <c r="E691">
        <f>IF(B691="","",COUNTIFS($B$2:B691,B691,$D$2:D691,D691))</f>
        <v/>
      </c>
    </row>
    <row r="692">
      <c r="A692">
        <f>IF(B692="","",VLOOKUP(B692,Lists!$A$2:$B$25,2,FALSE)&amp;"-"&amp;D692&amp;"-"&amp;TEXT(E692,"000"))</f>
        <v/>
      </c>
      <c r="E692">
        <f>IF(B692="","",COUNTIFS($B$2:B692,B692,$D$2:D692,D692))</f>
        <v/>
      </c>
    </row>
    <row r="693">
      <c r="A693">
        <f>IF(B693="","",VLOOKUP(B693,Lists!$A$2:$B$25,2,FALSE)&amp;"-"&amp;D693&amp;"-"&amp;TEXT(E693,"000"))</f>
        <v/>
      </c>
      <c r="E693">
        <f>IF(B693="","",COUNTIFS($B$2:B693,B693,$D$2:D693,D693))</f>
        <v/>
      </c>
    </row>
    <row r="694">
      <c r="A694">
        <f>IF(B694="","",VLOOKUP(B694,Lists!$A$2:$B$25,2,FALSE)&amp;"-"&amp;D694&amp;"-"&amp;TEXT(E694,"000"))</f>
        <v/>
      </c>
      <c r="E694">
        <f>IF(B694="","",COUNTIFS($B$2:B694,B694,$D$2:D694,D694))</f>
        <v/>
      </c>
    </row>
    <row r="695">
      <c r="A695">
        <f>IF(B695="","",VLOOKUP(B695,Lists!$A$2:$B$25,2,FALSE)&amp;"-"&amp;D695&amp;"-"&amp;TEXT(E695,"000"))</f>
        <v/>
      </c>
      <c r="E695">
        <f>IF(B695="","",COUNTIFS($B$2:B695,B695,$D$2:D695,D695))</f>
        <v/>
      </c>
    </row>
    <row r="696">
      <c r="A696">
        <f>IF(B696="","",VLOOKUP(B696,Lists!$A$2:$B$25,2,FALSE)&amp;"-"&amp;D696&amp;"-"&amp;TEXT(E696,"000"))</f>
        <v/>
      </c>
      <c r="E696">
        <f>IF(B696="","",COUNTIFS($B$2:B696,B696,$D$2:D696,D696))</f>
        <v/>
      </c>
    </row>
    <row r="697">
      <c r="A697">
        <f>IF(B697="","",VLOOKUP(B697,Lists!$A$2:$B$25,2,FALSE)&amp;"-"&amp;D697&amp;"-"&amp;TEXT(E697,"000"))</f>
        <v/>
      </c>
      <c r="E697">
        <f>IF(B697="","",COUNTIFS($B$2:B697,B697,$D$2:D697,D697))</f>
        <v/>
      </c>
    </row>
    <row r="698">
      <c r="A698">
        <f>IF(B698="","",VLOOKUP(B698,Lists!$A$2:$B$25,2,FALSE)&amp;"-"&amp;D698&amp;"-"&amp;TEXT(E698,"000"))</f>
        <v/>
      </c>
      <c r="E698">
        <f>IF(B698="","",COUNTIFS($B$2:B698,B698,$D$2:D698,D698))</f>
        <v/>
      </c>
    </row>
    <row r="699">
      <c r="A699">
        <f>IF(B699="","",VLOOKUP(B699,Lists!$A$2:$B$25,2,FALSE)&amp;"-"&amp;D699&amp;"-"&amp;TEXT(E699,"000"))</f>
        <v/>
      </c>
      <c r="E699">
        <f>IF(B699="","",COUNTIFS($B$2:B699,B699,$D$2:D699,D699))</f>
        <v/>
      </c>
    </row>
    <row r="700">
      <c r="A700">
        <f>IF(B700="","",VLOOKUP(B700,Lists!$A$2:$B$25,2,FALSE)&amp;"-"&amp;D700&amp;"-"&amp;TEXT(E700,"000"))</f>
        <v/>
      </c>
      <c r="E700">
        <f>IF(B700="","",COUNTIFS($B$2:B700,B700,$D$2:D700,D700))</f>
        <v/>
      </c>
    </row>
    <row r="701">
      <c r="A701">
        <f>IF(B701="","",VLOOKUP(B701,Lists!$A$2:$B$25,2,FALSE)&amp;"-"&amp;D701&amp;"-"&amp;TEXT(E701,"000"))</f>
        <v/>
      </c>
      <c r="E701">
        <f>IF(B701="","",COUNTIFS($B$2:B701,B701,$D$2:D701,D701))</f>
        <v/>
      </c>
    </row>
    <row r="702">
      <c r="A702">
        <f>IF(B702="","",VLOOKUP(B702,Lists!$A$2:$B$25,2,FALSE)&amp;"-"&amp;D702&amp;"-"&amp;TEXT(E702,"000"))</f>
        <v/>
      </c>
      <c r="E702">
        <f>IF(B702="","",COUNTIFS($B$2:B702,B702,$D$2:D702,D702))</f>
        <v/>
      </c>
    </row>
    <row r="703">
      <c r="A703">
        <f>IF(B703="","",VLOOKUP(B703,Lists!$A$2:$B$25,2,FALSE)&amp;"-"&amp;D703&amp;"-"&amp;TEXT(E703,"000"))</f>
        <v/>
      </c>
      <c r="E703">
        <f>IF(B703="","",COUNTIFS($B$2:B703,B703,$D$2:D703,D703))</f>
        <v/>
      </c>
    </row>
    <row r="704">
      <c r="A704">
        <f>IF(B704="","",VLOOKUP(B704,Lists!$A$2:$B$25,2,FALSE)&amp;"-"&amp;D704&amp;"-"&amp;TEXT(E704,"000"))</f>
        <v/>
      </c>
      <c r="E704">
        <f>IF(B704="","",COUNTIFS($B$2:B704,B704,$D$2:D704,D704))</f>
        <v/>
      </c>
    </row>
    <row r="705">
      <c r="A705">
        <f>IF(B705="","",VLOOKUP(B705,Lists!$A$2:$B$25,2,FALSE)&amp;"-"&amp;D705&amp;"-"&amp;TEXT(E705,"000"))</f>
        <v/>
      </c>
      <c r="E705">
        <f>IF(B705="","",COUNTIFS($B$2:B705,B705,$D$2:D705,D705))</f>
        <v/>
      </c>
    </row>
    <row r="706">
      <c r="A706">
        <f>IF(B706="","",VLOOKUP(B706,Lists!$A$2:$B$25,2,FALSE)&amp;"-"&amp;D706&amp;"-"&amp;TEXT(E706,"000"))</f>
        <v/>
      </c>
      <c r="E706">
        <f>IF(B706="","",COUNTIFS($B$2:B706,B706,$D$2:D706,D706))</f>
        <v/>
      </c>
    </row>
    <row r="707">
      <c r="A707">
        <f>IF(B707="","",VLOOKUP(B707,Lists!$A$2:$B$25,2,FALSE)&amp;"-"&amp;D707&amp;"-"&amp;TEXT(E707,"000"))</f>
        <v/>
      </c>
      <c r="E707">
        <f>IF(B707="","",COUNTIFS($B$2:B707,B707,$D$2:D707,D707))</f>
        <v/>
      </c>
    </row>
    <row r="708">
      <c r="A708">
        <f>IF(B708="","",VLOOKUP(B708,Lists!$A$2:$B$25,2,FALSE)&amp;"-"&amp;D708&amp;"-"&amp;TEXT(E708,"000"))</f>
        <v/>
      </c>
      <c r="E708">
        <f>IF(B708="","",COUNTIFS($B$2:B708,B708,$D$2:D708,D708))</f>
        <v/>
      </c>
    </row>
    <row r="709">
      <c r="A709">
        <f>IF(B709="","",VLOOKUP(B709,Lists!$A$2:$B$25,2,FALSE)&amp;"-"&amp;D709&amp;"-"&amp;TEXT(E709,"000"))</f>
        <v/>
      </c>
      <c r="E709">
        <f>IF(B709="","",COUNTIFS($B$2:B709,B709,$D$2:D709,D709))</f>
        <v/>
      </c>
    </row>
    <row r="710">
      <c r="A710">
        <f>IF(B710="","",VLOOKUP(B710,Lists!$A$2:$B$25,2,FALSE)&amp;"-"&amp;D710&amp;"-"&amp;TEXT(E710,"000"))</f>
        <v/>
      </c>
      <c r="E710">
        <f>IF(B710="","",COUNTIFS($B$2:B710,B710,$D$2:D710,D710))</f>
        <v/>
      </c>
    </row>
    <row r="711">
      <c r="A711">
        <f>IF(B711="","",VLOOKUP(B711,Lists!$A$2:$B$25,2,FALSE)&amp;"-"&amp;D711&amp;"-"&amp;TEXT(E711,"000"))</f>
        <v/>
      </c>
      <c r="E711">
        <f>IF(B711="","",COUNTIFS($B$2:B711,B711,$D$2:D711,D711))</f>
        <v/>
      </c>
    </row>
    <row r="712">
      <c r="A712">
        <f>IF(B712="","",VLOOKUP(B712,Lists!$A$2:$B$25,2,FALSE)&amp;"-"&amp;D712&amp;"-"&amp;TEXT(E712,"000"))</f>
        <v/>
      </c>
      <c r="E712">
        <f>IF(B712="","",COUNTIFS($B$2:B712,B712,$D$2:D712,D712))</f>
        <v/>
      </c>
    </row>
    <row r="713">
      <c r="A713">
        <f>IF(B713="","",VLOOKUP(B713,Lists!$A$2:$B$25,2,FALSE)&amp;"-"&amp;D713&amp;"-"&amp;TEXT(E713,"000"))</f>
        <v/>
      </c>
      <c r="E713">
        <f>IF(B713="","",COUNTIFS($B$2:B713,B713,$D$2:D713,D713))</f>
        <v/>
      </c>
    </row>
    <row r="714">
      <c r="A714">
        <f>IF(B714="","",VLOOKUP(B714,Lists!$A$2:$B$25,2,FALSE)&amp;"-"&amp;D714&amp;"-"&amp;TEXT(E714,"000"))</f>
        <v/>
      </c>
      <c r="E714">
        <f>IF(B714="","",COUNTIFS($B$2:B714,B714,$D$2:D714,D714))</f>
        <v/>
      </c>
    </row>
    <row r="715">
      <c r="A715">
        <f>IF(B715="","",VLOOKUP(B715,Lists!$A$2:$B$25,2,FALSE)&amp;"-"&amp;D715&amp;"-"&amp;TEXT(E715,"000"))</f>
        <v/>
      </c>
      <c r="E715">
        <f>IF(B715="","",COUNTIFS($B$2:B715,B715,$D$2:D715,D715))</f>
        <v/>
      </c>
    </row>
    <row r="716">
      <c r="A716">
        <f>IF(B716="","",VLOOKUP(B716,Lists!$A$2:$B$25,2,FALSE)&amp;"-"&amp;D716&amp;"-"&amp;TEXT(E716,"000"))</f>
        <v/>
      </c>
      <c r="E716">
        <f>IF(B716="","",COUNTIFS($B$2:B716,B716,$D$2:D716,D716))</f>
        <v/>
      </c>
    </row>
    <row r="717">
      <c r="A717">
        <f>IF(B717="","",VLOOKUP(B717,Lists!$A$2:$B$25,2,FALSE)&amp;"-"&amp;D717&amp;"-"&amp;TEXT(E717,"000"))</f>
        <v/>
      </c>
      <c r="E717">
        <f>IF(B717="","",COUNTIFS($B$2:B717,B717,$D$2:D717,D717))</f>
        <v/>
      </c>
    </row>
    <row r="718">
      <c r="A718">
        <f>IF(B718="","",VLOOKUP(B718,Lists!$A$2:$B$25,2,FALSE)&amp;"-"&amp;D718&amp;"-"&amp;TEXT(E718,"000"))</f>
        <v/>
      </c>
      <c r="E718">
        <f>IF(B718="","",COUNTIFS($B$2:B718,B718,$D$2:D718,D718))</f>
        <v/>
      </c>
    </row>
    <row r="719">
      <c r="A719">
        <f>IF(B719="","",VLOOKUP(B719,Lists!$A$2:$B$25,2,FALSE)&amp;"-"&amp;D719&amp;"-"&amp;TEXT(E719,"000"))</f>
        <v/>
      </c>
      <c r="E719">
        <f>IF(B719="","",COUNTIFS($B$2:B719,B719,$D$2:D719,D719))</f>
        <v/>
      </c>
    </row>
    <row r="720">
      <c r="A720">
        <f>IF(B720="","",VLOOKUP(B720,Lists!$A$2:$B$25,2,FALSE)&amp;"-"&amp;D720&amp;"-"&amp;TEXT(E720,"000"))</f>
        <v/>
      </c>
      <c r="E720">
        <f>IF(B720="","",COUNTIFS($B$2:B720,B720,$D$2:D720,D720))</f>
        <v/>
      </c>
    </row>
    <row r="721">
      <c r="A721">
        <f>IF(B721="","",VLOOKUP(B721,Lists!$A$2:$B$25,2,FALSE)&amp;"-"&amp;D721&amp;"-"&amp;TEXT(E721,"000"))</f>
        <v/>
      </c>
      <c r="E721">
        <f>IF(B721="","",COUNTIFS($B$2:B721,B721,$D$2:D721,D721))</f>
        <v/>
      </c>
    </row>
    <row r="722">
      <c r="A722">
        <f>IF(B722="","",VLOOKUP(B722,Lists!$A$2:$B$25,2,FALSE)&amp;"-"&amp;D722&amp;"-"&amp;TEXT(E722,"000"))</f>
        <v/>
      </c>
      <c r="E722">
        <f>IF(B722="","",COUNTIFS($B$2:B722,B722,$D$2:D722,D722))</f>
        <v/>
      </c>
    </row>
    <row r="723">
      <c r="A723">
        <f>IF(B723="","",VLOOKUP(B723,Lists!$A$2:$B$25,2,FALSE)&amp;"-"&amp;D723&amp;"-"&amp;TEXT(E723,"000"))</f>
        <v/>
      </c>
      <c r="E723">
        <f>IF(B723="","",COUNTIFS($B$2:B723,B723,$D$2:D723,D723))</f>
        <v/>
      </c>
    </row>
    <row r="724">
      <c r="A724">
        <f>IF(B724="","",VLOOKUP(B724,Lists!$A$2:$B$25,2,FALSE)&amp;"-"&amp;D724&amp;"-"&amp;TEXT(E724,"000"))</f>
        <v/>
      </c>
      <c r="E724">
        <f>IF(B724="","",COUNTIFS($B$2:B724,B724,$D$2:D724,D724))</f>
        <v/>
      </c>
    </row>
    <row r="725">
      <c r="A725">
        <f>IF(B725="","",VLOOKUP(B725,Lists!$A$2:$B$25,2,FALSE)&amp;"-"&amp;D725&amp;"-"&amp;TEXT(E725,"000"))</f>
        <v/>
      </c>
      <c r="E725">
        <f>IF(B725="","",COUNTIFS($B$2:B725,B725,$D$2:D725,D725))</f>
        <v/>
      </c>
    </row>
    <row r="726">
      <c r="A726">
        <f>IF(B726="","",VLOOKUP(B726,Lists!$A$2:$B$25,2,FALSE)&amp;"-"&amp;D726&amp;"-"&amp;TEXT(E726,"000"))</f>
        <v/>
      </c>
      <c r="E726">
        <f>IF(B726="","",COUNTIFS($B$2:B726,B726,$D$2:D726,D726))</f>
        <v/>
      </c>
    </row>
    <row r="727">
      <c r="A727">
        <f>IF(B727="","",VLOOKUP(B727,Lists!$A$2:$B$25,2,FALSE)&amp;"-"&amp;D727&amp;"-"&amp;TEXT(E727,"000"))</f>
        <v/>
      </c>
      <c r="E727">
        <f>IF(B727="","",COUNTIFS($B$2:B727,B727,$D$2:D727,D727))</f>
        <v/>
      </c>
    </row>
    <row r="728">
      <c r="A728">
        <f>IF(B728="","",VLOOKUP(B728,Lists!$A$2:$B$25,2,FALSE)&amp;"-"&amp;D728&amp;"-"&amp;TEXT(E728,"000"))</f>
        <v/>
      </c>
      <c r="E728">
        <f>IF(B728="","",COUNTIFS($B$2:B728,B728,$D$2:D728,D728))</f>
        <v/>
      </c>
    </row>
    <row r="729">
      <c r="A729">
        <f>IF(B729="","",VLOOKUP(B729,Lists!$A$2:$B$25,2,FALSE)&amp;"-"&amp;D729&amp;"-"&amp;TEXT(E729,"000"))</f>
        <v/>
      </c>
      <c r="E729">
        <f>IF(B729="","",COUNTIFS($B$2:B729,B729,$D$2:D729,D729))</f>
        <v/>
      </c>
    </row>
    <row r="730">
      <c r="A730">
        <f>IF(B730="","",VLOOKUP(B730,Lists!$A$2:$B$25,2,FALSE)&amp;"-"&amp;D730&amp;"-"&amp;TEXT(E730,"000"))</f>
        <v/>
      </c>
      <c r="E730">
        <f>IF(B730="","",COUNTIFS($B$2:B730,B730,$D$2:D730,D730))</f>
        <v/>
      </c>
    </row>
    <row r="731">
      <c r="A731">
        <f>IF(B731="","",VLOOKUP(B731,Lists!$A$2:$B$25,2,FALSE)&amp;"-"&amp;D731&amp;"-"&amp;TEXT(E731,"000"))</f>
        <v/>
      </c>
      <c r="E731">
        <f>IF(B731="","",COUNTIFS($B$2:B731,B731,$D$2:D731,D731))</f>
        <v/>
      </c>
    </row>
    <row r="732">
      <c r="A732">
        <f>IF(B732="","",VLOOKUP(B732,Lists!$A$2:$B$25,2,FALSE)&amp;"-"&amp;D732&amp;"-"&amp;TEXT(E732,"000"))</f>
        <v/>
      </c>
      <c r="E732">
        <f>IF(B732="","",COUNTIFS($B$2:B732,B732,$D$2:D732,D732))</f>
        <v/>
      </c>
    </row>
    <row r="733">
      <c r="A733">
        <f>IF(B733="","",VLOOKUP(B733,Lists!$A$2:$B$25,2,FALSE)&amp;"-"&amp;D733&amp;"-"&amp;TEXT(E733,"000"))</f>
        <v/>
      </c>
      <c r="E733">
        <f>IF(B733="","",COUNTIFS($B$2:B733,B733,$D$2:D733,D733))</f>
        <v/>
      </c>
    </row>
    <row r="734">
      <c r="A734">
        <f>IF(B734="","",VLOOKUP(B734,Lists!$A$2:$B$25,2,FALSE)&amp;"-"&amp;D734&amp;"-"&amp;TEXT(E734,"000"))</f>
        <v/>
      </c>
      <c r="E734">
        <f>IF(B734="","",COUNTIFS($B$2:B734,B734,$D$2:D734,D734))</f>
        <v/>
      </c>
    </row>
    <row r="735">
      <c r="A735">
        <f>IF(B735="","",VLOOKUP(B735,Lists!$A$2:$B$25,2,FALSE)&amp;"-"&amp;D735&amp;"-"&amp;TEXT(E735,"000"))</f>
        <v/>
      </c>
      <c r="E735">
        <f>IF(B735="","",COUNTIFS($B$2:B735,B735,$D$2:D735,D735))</f>
        <v/>
      </c>
    </row>
    <row r="736">
      <c r="A736">
        <f>IF(B736="","",VLOOKUP(B736,Lists!$A$2:$B$25,2,FALSE)&amp;"-"&amp;D736&amp;"-"&amp;TEXT(E736,"000"))</f>
        <v/>
      </c>
      <c r="E736">
        <f>IF(B736="","",COUNTIFS($B$2:B736,B736,$D$2:D736,D736))</f>
        <v/>
      </c>
    </row>
    <row r="737">
      <c r="A737">
        <f>IF(B737="","",VLOOKUP(B737,Lists!$A$2:$B$25,2,FALSE)&amp;"-"&amp;D737&amp;"-"&amp;TEXT(E737,"000"))</f>
        <v/>
      </c>
      <c r="E737">
        <f>IF(B737="","",COUNTIFS($B$2:B737,B737,$D$2:D737,D737))</f>
        <v/>
      </c>
    </row>
    <row r="738">
      <c r="A738">
        <f>IF(B738="","",VLOOKUP(B738,Lists!$A$2:$B$25,2,FALSE)&amp;"-"&amp;D738&amp;"-"&amp;TEXT(E738,"000"))</f>
        <v/>
      </c>
      <c r="E738">
        <f>IF(B738="","",COUNTIFS($B$2:B738,B738,$D$2:D738,D738))</f>
        <v/>
      </c>
    </row>
    <row r="739">
      <c r="A739">
        <f>IF(B739="","",VLOOKUP(B739,Lists!$A$2:$B$25,2,FALSE)&amp;"-"&amp;D739&amp;"-"&amp;TEXT(E739,"000"))</f>
        <v/>
      </c>
      <c r="E739">
        <f>IF(B739="","",COUNTIFS($B$2:B739,B739,$D$2:D739,D739))</f>
        <v/>
      </c>
    </row>
    <row r="740">
      <c r="A740">
        <f>IF(B740="","",VLOOKUP(B740,Lists!$A$2:$B$25,2,FALSE)&amp;"-"&amp;D740&amp;"-"&amp;TEXT(E740,"000"))</f>
        <v/>
      </c>
      <c r="E740">
        <f>IF(B740="","",COUNTIFS($B$2:B740,B740,$D$2:D740,D740))</f>
        <v/>
      </c>
    </row>
    <row r="741">
      <c r="A741">
        <f>IF(B741="","",VLOOKUP(B741,Lists!$A$2:$B$25,2,FALSE)&amp;"-"&amp;D741&amp;"-"&amp;TEXT(E741,"000"))</f>
        <v/>
      </c>
      <c r="E741">
        <f>IF(B741="","",COUNTIFS($B$2:B741,B741,$D$2:D741,D741))</f>
        <v/>
      </c>
    </row>
    <row r="742">
      <c r="A742">
        <f>IF(B742="","",VLOOKUP(B742,Lists!$A$2:$B$25,2,FALSE)&amp;"-"&amp;D742&amp;"-"&amp;TEXT(E742,"000"))</f>
        <v/>
      </c>
      <c r="E742">
        <f>IF(B742="","",COUNTIFS($B$2:B742,B742,$D$2:D742,D742))</f>
        <v/>
      </c>
    </row>
    <row r="743">
      <c r="A743">
        <f>IF(B743="","",VLOOKUP(B743,Lists!$A$2:$B$25,2,FALSE)&amp;"-"&amp;D743&amp;"-"&amp;TEXT(E743,"000"))</f>
        <v/>
      </c>
      <c r="E743">
        <f>IF(B743="","",COUNTIFS($B$2:B743,B743,$D$2:D743,D743))</f>
        <v/>
      </c>
    </row>
    <row r="744">
      <c r="A744">
        <f>IF(B744="","",VLOOKUP(B744,Lists!$A$2:$B$25,2,FALSE)&amp;"-"&amp;D744&amp;"-"&amp;TEXT(E744,"000"))</f>
        <v/>
      </c>
      <c r="E744">
        <f>IF(B744="","",COUNTIFS($B$2:B744,B744,$D$2:D744,D744))</f>
        <v/>
      </c>
    </row>
    <row r="745">
      <c r="A745">
        <f>IF(B745="","",VLOOKUP(B745,Lists!$A$2:$B$25,2,FALSE)&amp;"-"&amp;D745&amp;"-"&amp;TEXT(E745,"000"))</f>
        <v/>
      </c>
      <c r="E745">
        <f>IF(B745="","",COUNTIFS($B$2:B745,B745,$D$2:D745,D745))</f>
        <v/>
      </c>
    </row>
    <row r="746">
      <c r="A746">
        <f>IF(B746="","",VLOOKUP(B746,Lists!$A$2:$B$25,2,FALSE)&amp;"-"&amp;D746&amp;"-"&amp;TEXT(E746,"000"))</f>
        <v/>
      </c>
      <c r="E746">
        <f>IF(B746="","",COUNTIFS($B$2:B746,B746,$D$2:D746,D746))</f>
        <v/>
      </c>
    </row>
    <row r="747">
      <c r="A747">
        <f>IF(B747="","",VLOOKUP(B747,Lists!$A$2:$B$25,2,FALSE)&amp;"-"&amp;D747&amp;"-"&amp;TEXT(E747,"000"))</f>
        <v/>
      </c>
      <c r="E747">
        <f>IF(B747="","",COUNTIFS($B$2:B747,B747,$D$2:D747,D747))</f>
        <v/>
      </c>
    </row>
    <row r="748">
      <c r="A748">
        <f>IF(B748="","",VLOOKUP(B748,Lists!$A$2:$B$25,2,FALSE)&amp;"-"&amp;D748&amp;"-"&amp;TEXT(E748,"000"))</f>
        <v/>
      </c>
      <c r="E748">
        <f>IF(B748="","",COUNTIFS($B$2:B748,B748,$D$2:D748,D748))</f>
        <v/>
      </c>
    </row>
    <row r="749">
      <c r="A749">
        <f>IF(B749="","",VLOOKUP(B749,Lists!$A$2:$B$25,2,FALSE)&amp;"-"&amp;D749&amp;"-"&amp;TEXT(E749,"000"))</f>
        <v/>
      </c>
      <c r="E749">
        <f>IF(B749="","",COUNTIFS($B$2:B749,B749,$D$2:D749,D749))</f>
        <v/>
      </c>
    </row>
    <row r="750">
      <c r="A750">
        <f>IF(B750="","",VLOOKUP(B750,Lists!$A$2:$B$25,2,FALSE)&amp;"-"&amp;D750&amp;"-"&amp;TEXT(E750,"000"))</f>
        <v/>
      </c>
      <c r="E750">
        <f>IF(B750="","",COUNTIFS($B$2:B750,B750,$D$2:D750,D750))</f>
        <v/>
      </c>
    </row>
    <row r="751">
      <c r="A751">
        <f>IF(B751="","",VLOOKUP(B751,Lists!$A$2:$B$25,2,FALSE)&amp;"-"&amp;D751&amp;"-"&amp;TEXT(E751,"000"))</f>
        <v/>
      </c>
      <c r="E751">
        <f>IF(B751="","",COUNTIFS($B$2:B751,B751,$D$2:D751,D751))</f>
        <v/>
      </c>
    </row>
    <row r="752">
      <c r="A752">
        <f>IF(B752="","",VLOOKUP(B752,Lists!$A$2:$B$25,2,FALSE)&amp;"-"&amp;D752&amp;"-"&amp;TEXT(E752,"000"))</f>
        <v/>
      </c>
      <c r="E752">
        <f>IF(B752="","",COUNTIFS($B$2:B752,B752,$D$2:D752,D752))</f>
        <v/>
      </c>
    </row>
    <row r="753">
      <c r="A753">
        <f>IF(B753="","",VLOOKUP(B753,Lists!$A$2:$B$25,2,FALSE)&amp;"-"&amp;D753&amp;"-"&amp;TEXT(E753,"000"))</f>
        <v/>
      </c>
      <c r="E753">
        <f>IF(B753="","",COUNTIFS($B$2:B753,B753,$D$2:D753,D753))</f>
        <v/>
      </c>
    </row>
    <row r="754">
      <c r="A754">
        <f>IF(B754="","",VLOOKUP(B754,Lists!$A$2:$B$25,2,FALSE)&amp;"-"&amp;D754&amp;"-"&amp;TEXT(E754,"000"))</f>
        <v/>
      </c>
      <c r="E754">
        <f>IF(B754="","",COUNTIFS($B$2:B754,B754,$D$2:D754,D754))</f>
        <v/>
      </c>
    </row>
    <row r="755">
      <c r="A755">
        <f>IF(B755="","",VLOOKUP(B755,Lists!$A$2:$B$25,2,FALSE)&amp;"-"&amp;D755&amp;"-"&amp;TEXT(E755,"000"))</f>
        <v/>
      </c>
      <c r="E755">
        <f>IF(B755="","",COUNTIFS($B$2:B755,B755,$D$2:D755,D755))</f>
        <v/>
      </c>
    </row>
    <row r="756">
      <c r="A756">
        <f>IF(B756="","",VLOOKUP(B756,Lists!$A$2:$B$25,2,FALSE)&amp;"-"&amp;D756&amp;"-"&amp;TEXT(E756,"000"))</f>
        <v/>
      </c>
      <c r="E756">
        <f>IF(B756="","",COUNTIFS($B$2:B756,B756,$D$2:D756,D756))</f>
        <v/>
      </c>
    </row>
    <row r="757">
      <c r="A757">
        <f>IF(B757="","",VLOOKUP(B757,Lists!$A$2:$B$25,2,FALSE)&amp;"-"&amp;D757&amp;"-"&amp;TEXT(E757,"000"))</f>
        <v/>
      </c>
      <c r="E757">
        <f>IF(B757="","",COUNTIFS($B$2:B757,B757,$D$2:D757,D757))</f>
        <v/>
      </c>
    </row>
    <row r="758">
      <c r="A758">
        <f>IF(B758="","",VLOOKUP(B758,Lists!$A$2:$B$25,2,FALSE)&amp;"-"&amp;D758&amp;"-"&amp;TEXT(E758,"000"))</f>
        <v/>
      </c>
      <c r="E758">
        <f>IF(B758="","",COUNTIFS($B$2:B758,B758,$D$2:D758,D758))</f>
        <v/>
      </c>
    </row>
    <row r="759">
      <c r="A759">
        <f>IF(B759="","",VLOOKUP(B759,Lists!$A$2:$B$25,2,FALSE)&amp;"-"&amp;D759&amp;"-"&amp;TEXT(E759,"000"))</f>
        <v/>
      </c>
      <c r="E759">
        <f>IF(B759="","",COUNTIFS($B$2:B759,B759,$D$2:D759,D759))</f>
        <v/>
      </c>
    </row>
    <row r="760">
      <c r="A760">
        <f>IF(B760="","",VLOOKUP(B760,Lists!$A$2:$B$25,2,FALSE)&amp;"-"&amp;D760&amp;"-"&amp;TEXT(E760,"000"))</f>
        <v/>
      </c>
      <c r="E760">
        <f>IF(B760="","",COUNTIFS($B$2:B760,B760,$D$2:D760,D760))</f>
        <v/>
      </c>
    </row>
    <row r="761">
      <c r="A761">
        <f>IF(B761="","",VLOOKUP(B761,Lists!$A$2:$B$25,2,FALSE)&amp;"-"&amp;D761&amp;"-"&amp;TEXT(E761,"000"))</f>
        <v/>
      </c>
      <c r="E761">
        <f>IF(B761="","",COUNTIFS($B$2:B761,B761,$D$2:D761,D761))</f>
        <v/>
      </c>
    </row>
    <row r="762">
      <c r="A762">
        <f>IF(B762="","",VLOOKUP(B762,Lists!$A$2:$B$25,2,FALSE)&amp;"-"&amp;D762&amp;"-"&amp;TEXT(E762,"000"))</f>
        <v/>
      </c>
      <c r="E762">
        <f>IF(B762="","",COUNTIFS($B$2:B762,B762,$D$2:D762,D762))</f>
        <v/>
      </c>
    </row>
    <row r="763">
      <c r="A763">
        <f>IF(B763="","",VLOOKUP(B763,Lists!$A$2:$B$25,2,FALSE)&amp;"-"&amp;D763&amp;"-"&amp;TEXT(E763,"000"))</f>
        <v/>
      </c>
      <c r="E763">
        <f>IF(B763="","",COUNTIFS($B$2:B763,B763,$D$2:D763,D763))</f>
        <v/>
      </c>
    </row>
    <row r="764">
      <c r="A764">
        <f>IF(B764="","",VLOOKUP(B764,Lists!$A$2:$B$25,2,FALSE)&amp;"-"&amp;D764&amp;"-"&amp;TEXT(E764,"000"))</f>
        <v/>
      </c>
      <c r="E764">
        <f>IF(B764="","",COUNTIFS($B$2:B764,B764,$D$2:D764,D764))</f>
        <v/>
      </c>
    </row>
    <row r="765">
      <c r="A765">
        <f>IF(B765="","",VLOOKUP(B765,Lists!$A$2:$B$25,2,FALSE)&amp;"-"&amp;D765&amp;"-"&amp;TEXT(E765,"000"))</f>
        <v/>
      </c>
      <c r="E765">
        <f>IF(B765="","",COUNTIFS($B$2:B765,B765,$D$2:D765,D765))</f>
        <v/>
      </c>
    </row>
    <row r="766">
      <c r="A766">
        <f>IF(B766="","",VLOOKUP(B766,Lists!$A$2:$B$25,2,FALSE)&amp;"-"&amp;D766&amp;"-"&amp;TEXT(E766,"000"))</f>
        <v/>
      </c>
      <c r="E766">
        <f>IF(B766="","",COUNTIFS($B$2:B766,B766,$D$2:D766,D766))</f>
        <v/>
      </c>
    </row>
    <row r="767">
      <c r="A767">
        <f>IF(B767="","",VLOOKUP(B767,Lists!$A$2:$B$25,2,FALSE)&amp;"-"&amp;D767&amp;"-"&amp;TEXT(E767,"000"))</f>
        <v/>
      </c>
      <c r="E767">
        <f>IF(B767="","",COUNTIFS($B$2:B767,B767,$D$2:D767,D767))</f>
        <v/>
      </c>
    </row>
    <row r="768">
      <c r="A768">
        <f>IF(B768="","",VLOOKUP(B768,Lists!$A$2:$B$25,2,FALSE)&amp;"-"&amp;D768&amp;"-"&amp;TEXT(E768,"000"))</f>
        <v/>
      </c>
      <c r="E768">
        <f>IF(B768="","",COUNTIFS($B$2:B768,B768,$D$2:D768,D768))</f>
        <v/>
      </c>
    </row>
    <row r="769">
      <c r="A769">
        <f>IF(B769="","",VLOOKUP(B769,Lists!$A$2:$B$25,2,FALSE)&amp;"-"&amp;D769&amp;"-"&amp;TEXT(E769,"000"))</f>
        <v/>
      </c>
      <c r="E769">
        <f>IF(B769="","",COUNTIFS($B$2:B769,B769,$D$2:D769,D769))</f>
        <v/>
      </c>
    </row>
    <row r="770">
      <c r="A770">
        <f>IF(B770="","",VLOOKUP(B770,Lists!$A$2:$B$25,2,FALSE)&amp;"-"&amp;D770&amp;"-"&amp;TEXT(E770,"000"))</f>
        <v/>
      </c>
      <c r="E770">
        <f>IF(B770="","",COUNTIFS($B$2:B770,B770,$D$2:D770,D770))</f>
        <v/>
      </c>
    </row>
    <row r="771">
      <c r="A771">
        <f>IF(B771="","",VLOOKUP(B771,Lists!$A$2:$B$25,2,FALSE)&amp;"-"&amp;D771&amp;"-"&amp;TEXT(E771,"000"))</f>
        <v/>
      </c>
      <c r="E771">
        <f>IF(B771="","",COUNTIFS($B$2:B771,B771,$D$2:D771,D771))</f>
        <v/>
      </c>
    </row>
    <row r="772">
      <c r="A772">
        <f>IF(B772="","",VLOOKUP(B772,Lists!$A$2:$B$25,2,FALSE)&amp;"-"&amp;D772&amp;"-"&amp;TEXT(E772,"000"))</f>
        <v/>
      </c>
      <c r="E772">
        <f>IF(B772="","",COUNTIFS($B$2:B772,B772,$D$2:D772,D772))</f>
        <v/>
      </c>
    </row>
    <row r="773">
      <c r="A773">
        <f>IF(B773="","",VLOOKUP(B773,Lists!$A$2:$B$25,2,FALSE)&amp;"-"&amp;D773&amp;"-"&amp;TEXT(E773,"000"))</f>
        <v/>
      </c>
      <c r="E773">
        <f>IF(B773="","",COUNTIFS($B$2:B773,B773,$D$2:D773,D773))</f>
        <v/>
      </c>
    </row>
    <row r="774">
      <c r="A774">
        <f>IF(B774="","",VLOOKUP(B774,Lists!$A$2:$B$25,2,FALSE)&amp;"-"&amp;D774&amp;"-"&amp;TEXT(E774,"000"))</f>
        <v/>
      </c>
      <c r="E774">
        <f>IF(B774="","",COUNTIFS($B$2:B774,B774,$D$2:D774,D774))</f>
        <v/>
      </c>
    </row>
    <row r="775">
      <c r="A775">
        <f>IF(B775="","",VLOOKUP(B775,Lists!$A$2:$B$25,2,FALSE)&amp;"-"&amp;D775&amp;"-"&amp;TEXT(E775,"000"))</f>
        <v/>
      </c>
      <c r="E775">
        <f>IF(B775="","",COUNTIFS($B$2:B775,B775,$D$2:D775,D775))</f>
        <v/>
      </c>
    </row>
    <row r="776">
      <c r="A776">
        <f>IF(B776="","",VLOOKUP(B776,Lists!$A$2:$B$25,2,FALSE)&amp;"-"&amp;D776&amp;"-"&amp;TEXT(E776,"000"))</f>
        <v/>
      </c>
      <c r="E776">
        <f>IF(B776="","",COUNTIFS($B$2:B776,B776,$D$2:D776,D776))</f>
        <v/>
      </c>
    </row>
    <row r="777">
      <c r="A777">
        <f>IF(B777="","",VLOOKUP(B777,Lists!$A$2:$B$25,2,FALSE)&amp;"-"&amp;D777&amp;"-"&amp;TEXT(E777,"000"))</f>
        <v/>
      </c>
      <c r="E777">
        <f>IF(B777="","",COUNTIFS($B$2:B777,B777,$D$2:D777,D777))</f>
        <v/>
      </c>
    </row>
    <row r="778">
      <c r="A778">
        <f>IF(B778="","",VLOOKUP(B778,Lists!$A$2:$B$25,2,FALSE)&amp;"-"&amp;D778&amp;"-"&amp;TEXT(E778,"000"))</f>
        <v/>
      </c>
      <c r="E778">
        <f>IF(B778="","",COUNTIFS($B$2:B778,B778,$D$2:D778,D778))</f>
        <v/>
      </c>
    </row>
    <row r="779">
      <c r="A779">
        <f>IF(B779="","",VLOOKUP(B779,Lists!$A$2:$B$25,2,FALSE)&amp;"-"&amp;D779&amp;"-"&amp;TEXT(E779,"000"))</f>
        <v/>
      </c>
      <c r="E779">
        <f>IF(B779="","",COUNTIFS($B$2:B779,B779,$D$2:D779,D779))</f>
        <v/>
      </c>
    </row>
    <row r="780">
      <c r="A780">
        <f>IF(B780="","",VLOOKUP(B780,Lists!$A$2:$B$25,2,FALSE)&amp;"-"&amp;D780&amp;"-"&amp;TEXT(E780,"000"))</f>
        <v/>
      </c>
      <c r="E780">
        <f>IF(B780="","",COUNTIFS($B$2:B780,B780,$D$2:D780,D780))</f>
        <v/>
      </c>
    </row>
    <row r="781">
      <c r="A781">
        <f>IF(B781="","",VLOOKUP(B781,Lists!$A$2:$B$25,2,FALSE)&amp;"-"&amp;D781&amp;"-"&amp;TEXT(E781,"000"))</f>
        <v/>
      </c>
      <c r="E781">
        <f>IF(B781="","",COUNTIFS($B$2:B781,B781,$D$2:D781,D781))</f>
        <v/>
      </c>
    </row>
    <row r="782">
      <c r="A782">
        <f>IF(B782="","",VLOOKUP(B782,Lists!$A$2:$B$25,2,FALSE)&amp;"-"&amp;D782&amp;"-"&amp;TEXT(E782,"000"))</f>
        <v/>
      </c>
      <c r="E782">
        <f>IF(B782="","",COUNTIFS($B$2:B782,B782,$D$2:D782,D782))</f>
        <v/>
      </c>
    </row>
    <row r="783">
      <c r="A783">
        <f>IF(B783="","",VLOOKUP(B783,Lists!$A$2:$B$25,2,FALSE)&amp;"-"&amp;D783&amp;"-"&amp;TEXT(E783,"000"))</f>
        <v/>
      </c>
      <c r="E783">
        <f>IF(B783="","",COUNTIFS($B$2:B783,B783,$D$2:D783,D783))</f>
        <v/>
      </c>
    </row>
    <row r="784">
      <c r="A784">
        <f>IF(B784="","",VLOOKUP(B784,Lists!$A$2:$B$25,2,FALSE)&amp;"-"&amp;D784&amp;"-"&amp;TEXT(E784,"000"))</f>
        <v/>
      </c>
      <c r="E784">
        <f>IF(B784="","",COUNTIFS($B$2:B784,B784,$D$2:D784,D784))</f>
        <v/>
      </c>
    </row>
    <row r="785">
      <c r="A785">
        <f>IF(B785="","",VLOOKUP(B785,Lists!$A$2:$B$25,2,FALSE)&amp;"-"&amp;D785&amp;"-"&amp;TEXT(E785,"000"))</f>
        <v/>
      </c>
      <c r="E785">
        <f>IF(B785="","",COUNTIFS($B$2:B785,B785,$D$2:D785,D785))</f>
        <v/>
      </c>
    </row>
    <row r="786">
      <c r="A786">
        <f>IF(B786="","",VLOOKUP(B786,Lists!$A$2:$B$25,2,FALSE)&amp;"-"&amp;D786&amp;"-"&amp;TEXT(E786,"000"))</f>
        <v/>
      </c>
      <c r="E786">
        <f>IF(B786="","",COUNTIFS($B$2:B786,B786,$D$2:D786,D786))</f>
        <v/>
      </c>
    </row>
    <row r="787">
      <c r="A787">
        <f>IF(B787="","",VLOOKUP(B787,Lists!$A$2:$B$25,2,FALSE)&amp;"-"&amp;D787&amp;"-"&amp;TEXT(E787,"000"))</f>
        <v/>
      </c>
      <c r="E787">
        <f>IF(B787="","",COUNTIFS($B$2:B787,B787,$D$2:D787,D787))</f>
        <v/>
      </c>
    </row>
    <row r="788">
      <c r="A788">
        <f>IF(B788="","",VLOOKUP(B788,Lists!$A$2:$B$25,2,FALSE)&amp;"-"&amp;D788&amp;"-"&amp;TEXT(E788,"000"))</f>
        <v/>
      </c>
      <c r="E788">
        <f>IF(B788="","",COUNTIFS($B$2:B788,B788,$D$2:D788,D788))</f>
        <v/>
      </c>
    </row>
    <row r="789">
      <c r="A789">
        <f>IF(B789="","",VLOOKUP(B789,Lists!$A$2:$B$25,2,FALSE)&amp;"-"&amp;D789&amp;"-"&amp;TEXT(E789,"000"))</f>
        <v/>
      </c>
      <c r="E789">
        <f>IF(B789="","",COUNTIFS($B$2:B789,B789,$D$2:D789,D789))</f>
        <v/>
      </c>
    </row>
    <row r="790">
      <c r="A790">
        <f>IF(B790="","",VLOOKUP(B790,Lists!$A$2:$B$25,2,FALSE)&amp;"-"&amp;D790&amp;"-"&amp;TEXT(E790,"000"))</f>
        <v/>
      </c>
      <c r="E790">
        <f>IF(B790="","",COUNTIFS($B$2:B790,B790,$D$2:D790,D790))</f>
        <v/>
      </c>
    </row>
    <row r="791">
      <c r="A791">
        <f>IF(B791="","",VLOOKUP(B791,Lists!$A$2:$B$25,2,FALSE)&amp;"-"&amp;D791&amp;"-"&amp;TEXT(E791,"000"))</f>
        <v/>
      </c>
      <c r="E791">
        <f>IF(B791="","",COUNTIFS($B$2:B791,B791,$D$2:D791,D791))</f>
        <v/>
      </c>
    </row>
    <row r="792">
      <c r="A792">
        <f>IF(B792="","",VLOOKUP(B792,Lists!$A$2:$B$25,2,FALSE)&amp;"-"&amp;D792&amp;"-"&amp;TEXT(E792,"000"))</f>
        <v/>
      </c>
      <c r="E792">
        <f>IF(B792="","",COUNTIFS($B$2:B792,B792,$D$2:D792,D792))</f>
        <v/>
      </c>
    </row>
    <row r="793">
      <c r="A793">
        <f>IF(B793="","",VLOOKUP(B793,Lists!$A$2:$B$25,2,FALSE)&amp;"-"&amp;D793&amp;"-"&amp;TEXT(E793,"000"))</f>
        <v/>
      </c>
      <c r="E793">
        <f>IF(B793="","",COUNTIFS($B$2:B793,B793,$D$2:D793,D793))</f>
        <v/>
      </c>
    </row>
    <row r="794">
      <c r="A794">
        <f>IF(B794="","",VLOOKUP(B794,Lists!$A$2:$B$25,2,FALSE)&amp;"-"&amp;D794&amp;"-"&amp;TEXT(E794,"000"))</f>
        <v/>
      </c>
      <c r="E794">
        <f>IF(B794="","",COUNTIFS($B$2:B794,B794,$D$2:D794,D794))</f>
        <v/>
      </c>
    </row>
    <row r="795">
      <c r="A795">
        <f>IF(B795="","",VLOOKUP(B795,Lists!$A$2:$B$25,2,FALSE)&amp;"-"&amp;D795&amp;"-"&amp;TEXT(E795,"000"))</f>
        <v/>
      </c>
      <c r="E795">
        <f>IF(B795="","",COUNTIFS($B$2:B795,B795,$D$2:D795,D795))</f>
        <v/>
      </c>
    </row>
    <row r="796">
      <c r="A796">
        <f>IF(B796="","",VLOOKUP(B796,Lists!$A$2:$B$25,2,FALSE)&amp;"-"&amp;D796&amp;"-"&amp;TEXT(E796,"000"))</f>
        <v/>
      </c>
      <c r="E796">
        <f>IF(B796="","",COUNTIFS($B$2:B796,B796,$D$2:D796,D796))</f>
        <v/>
      </c>
    </row>
    <row r="797">
      <c r="A797">
        <f>IF(B797="","",VLOOKUP(B797,Lists!$A$2:$B$25,2,FALSE)&amp;"-"&amp;D797&amp;"-"&amp;TEXT(E797,"000"))</f>
        <v/>
      </c>
      <c r="E797">
        <f>IF(B797="","",COUNTIFS($B$2:B797,B797,$D$2:D797,D797))</f>
        <v/>
      </c>
    </row>
    <row r="798">
      <c r="A798">
        <f>IF(B798="","",VLOOKUP(B798,Lists!$A$2:$B$25,2,FALSE)&amp;"-"&amp;D798&amp;"-"&amp;TEXT(E798,"000"))</f>
        <v/>
      </c>
      <c r="E798">
        <f>IF(B798="","",COUNTIFS($B$2:B798,B798,$D$2:D798,D798))</f>
        <v/>
      </c>
    </row>
    <row r="799">
      <c r="A799">
        <f>IF(B799="","",VLOOKUP(B799,Lists!$A$2:$B$25,2,FALSE)&amp;"-"&amp;D799&amp;"-"&amp;TEXT(E799,"000"))</f>
        <v/>
      </c>
      <c r="E799">
        <f>IF(B799="","",COUNTIFS($B$2:B799,B799,$D$2:D799,D799))</f>
        <v/>
      </c>
    </row>
    <row r="800">
      <c r="A800">
        <f>IF(B800="","",VLOOKUP(B800,Lists!$A$2:$B$25,2,FALSE)&amp;"-"&amp;D800&amp;"-"&amp;TEXT(E800,"000"))</f>
        <v/>
      </c>
      <c r="E800">
        <f>IF(B800="","",COUNTIFS($B$2:B800,B800,$D$2:D800,D800))</f>
        <v/>
      </c>
    </row>
    <row r="801">
      <c r="A801">
        <f>IF(B801="","",VLOOKUP(B801,Lists!$A$2:$B$25,2,FALSE)&amp;"-"&amp;D801&amp;"-"&amp;TEXT(E801,"000"))</f>
        <v/>
      </c>
      <c r="E801">
        <f>IF(B801="","",COUNTIFS($B$2:B801,B801,$D$2:D801,D801))</f>
        <v/>
      </c>
    </row>
    <row r="802">
      <c r="A802">
        <f>IF(B802="","",VLOOKUP(B802,Lists!$A$2:$B$25,2,FALSE)&amp;"-"&amp;D802&amp;"-"&amp;TEXT(E802,"000"))</f>
        <v/>
      </c>
      <c r="E802">
        <f>IF(B802="","",COUNTIFS($B$2:B802,B802,$D$2:D802,D802))</f>
        <v/>
      </c>
    </row>
    <row r="803">
      <c r="A803">
        <f>IF(B803="","",VLOOKUP(B803,Lists!$A$2:$B$25,2,FALSE)&amp;"-"&amp;D803&amp;"-"&amp;TEXT(E803,"000"))</f>
        <v/>
      </c>
      <c r="E803">
        <f>IF(B803="","",COUNTIFS($B$2:B803,B803,$D$2:D803,D803))</f>
        <v/>
      </c>
    </row>
    <row r="804">
      <c r="A804">
        <f>IF(B804="","",VLOOKUP(B804,Lists!$A$2:$B$25,2,FALSE)&amp;"-"&amp;D804&amp;"-"&amp;TEXT(E804,"000"))</f>
        <v/>
      </c>
      <c r="E804">
        <f>IF(B804="","",COUNTIFS($B$2:B804,B804,$D$2:D804,D804))</f>
        <v/>
      </c>
    </row>
    <row r="805">
      <c r="A805">
        <f>IF(B805="","",VLOOKUP(B805,Lists!$A$2:$B$25,2,FALSE)&amp;"-"&amp;D805&amp;"-"&amp;TEXT(E805,"000"))</f>
        <v/>
      </c>
      <c r="E805">
        <f>IF(B805="","",COUNTIFS($B$2:B805,B805,$D$2:D805,D805))</f>
        <v/>
      </c>
    </row>
    <row r="806">
      <c r="A806">
        <f>IF(B806="","",VLOOKUP(B806,Lists!$A$2:$B$25,2,FALSE)&amp;"-"&amp;D806&amp;"-"&amp;TEXT(E806,"000"))</f>
        <v/>
      </c>
      <c r="E806">
        <f>IF(B806="","",COUNTIFS($B$2:B806,B806,$D$2:D806,D806))</f>
        <v/>
      </c>
    </row>
    <row r="807">
      <c r="A807">
        <f>IF(B807="","",VLOOKUP(B807,Lists!$A$2:$B$25,2,FALSE)&amp;"-"&amp;D807&amp;"-"&amp;TEXT(E807,"000"))</f>
        <v/>
      </c>
      <c r="E807">
        <f>IF(B807="","",COUNTIFS($B$2:B807,B807,$D$2:D807,D807))</f>
        <v/>
      </c>
    </row>
    <row r="808">
      <c r="A808">
        <f>IF(B808="","",VLOOKUP(B808,Lists!$A$2:$B$25,2,FALSE)&amp;"-"&amp;D808&amp;"-"&amp;TEXT(E808,"000"))</f>
        <v/>
      </c>
      <c r="E808">
        <f>IF(B808="","",COUNTIFS($B$2:B808,B808,$D$2:D808,D808))</f>
        <v/>
      </c>
    </row>
    <row r="809">
      <c r="A809">
        <f>IF(B809="","",VLOOKUP(B809,Lists!$A$2:$B$25,2,FALSE)&amp;"-"&amp;D809&amp;"-"&amp;TEXT(E809,"000"))</f>
        <v/>
      </c>
      <c r="E809">
        <f>IF(B809="","",COUNTIFS($B$2:B809,B809,$D$2:D809,D809))</f>
        <v/>
      </c>
    </row>
    <row r="810">
      <c r="A810">
        <f>IF(B810="","",VLOOKUP(B810,Lists!$A$2:$B$25,2,FALSE)&amp;"-"&amp;D810&amp;"-"&amp;TEXT(E810,"000"))</f>
        <v/>
      </c>
      <c r="E810">
        <f>IF(B810="","",COUNTIFS($B$2:B810,B810,$D$2:D810,D810))</f>
        <v/>
      </c>
    </row>
    <row r="811">
      <c r="A811">
        <f>IF(B811="","",VLOOKUP(B811,Lists!$A$2:$B$25,2,FALSE)&amp;"-"&amp;D811&amp;"-"&amp;TEXT(E811,"000"))</f>
        <v/>
      </c>
      <c r="E811">
        <f>IF(B811="","",COUNTIFS($B$2:B811,B811,$D$2:D811,D811))</f>
        <v/>
      </c>
    </row>
    <row r="812">
      <c r="A812">
        <f>IF(B812="","",VLOOKUP(B812,Lists!$A$2:$B$25,2,FALSE)&amp;"-"&amp;D812&amp;"-"&amp;TEXT(E812,"000"))</f>
        <v/>
      </c>
      <c r="E812">
        <f>IF(B812="","",COUNTIFS($B$2:B812,B812,$D$2:D812,D812))</f>
        <v/>
      </c>
    </row>
    <row r="813">
      <c r="A813">
        <f>IF(B813="","",VLOOKUP(B813,Lists!$A$2:$B$25,2,FALSE)&amp;"-"&amp;D813&amp;"-"&amp;TEXT(E813,"000"))</f>
        <v/>
      </c>
      <c r="E813">
        <f>IF(B813="","",COUNTIFS($B$2:B813,B813,$D$2:D813,D813))</f>
        <v/>
      </c>
    </row>
    <row r="814">
      <c r="A814">
        <f>IF(B814="","",VLOOKUP(B814,Lists!$A$2:$B$25,2,FALSE)&amp;"-"&amp;D814&amp;"-"&amp;TEXT(E814,"000"))</f>
        <v/>
      </c>
      <c r="E814">
        <f>IF(B814="","",COUNTIFS($B$2:B814,B814,$D$2:D814,D814))</f>
        <v/>
      </c>
    </row>
    <row r="815">
      <c r="A815">
        <f>IF(B815="","",VLOOKUP(B815,Lists!$A$2:$B$25,2,FALSE)&amp;"-"&amp;D815&amp;"-"&amp;TEXT(E815,"000"))</f>
        <v/>
      </c>
      <c r="E815">
        <f>IF(B815="","",COUNTIFS($B$2:B815,B815,$D$2:D815,D815))</f>
        <v/>
      </c>
    </row>
    <row r="816">
      <c r="A816">
        <f>IF(B816="","",VLOOKUP(B816,Lists!$A$2:$B$25,2,FALSE)&amp;"-"&amp;D816&amp;"-"&amp;TEXT(E816,"000"))</f>
        <v/>
      </c>
      <c r="E816">
        <f>IF(B816="","",COUNTIFS($B$2:B816,B816,$D$2:D816,D816))</f>
        <v/>
      </c>
    </row>
    <row r="817">
      <c r="A817">
        <f>IF(B817="","",VLOOKUP(B817,Lists!$A$2:$B$25,2,FALSE)&amp;"-"&amp;D817&amp;"-"&amp;TEXT(E817,"000"))</f>
        <v/>
      </c>
      <c r="E817">
        <f>IF(B817="","",COUNTIFS($B$2:B817,B817,$D$2:D817,D817))</f>
        <v/>
      </c>
    </row>
    <row r="818">
      <c r="A818">
        <f>IF(B818="","",VLOOKUP(B818,Lists!$A$2:$B$25,2,FALSE)&amp;"-"&amp;D818&amp;"-"&amp;TEXT(E818,"000"))</f>
        <v/>
      </c>
      <c r="E818">
        <f>IF(B818="","",COUNTIFS($B$2:B818,B818,$D$2:D818,D818))</f>
        <v/>
      </c>
    </row>
    <row r="819">
      <c r="A819">
        <f>IF(B819="","",VLOOKUP(B819,Lists!$A$2:$B$25,2,FALSE)&amp;"-"&amp;D819&amp;"-"&amp;TEXT(E819,"000"))</f>
        <v/>
      </c>
      <c r="E819">
        <f>IF(B819="","",COUNTIFS($B$2:B819,B819,$D$2:D819,D819))</f>
        <v/>
      </c>
    </row>
    <row r="820">
      <c r="A820">
        <f>IF(B820="","",VLOOKUP(B820,Lists!$A$2:$B$25,2,FALSE)&amp;"-"&amp;D820&amp;"-"&amp;TEXT(E820,"000"))</f>
        <v/>
      </c>
      <c r="E820">
        <f>IF(B820="","",COUNTIFS($B$2:B820,B820,$D$2:D820,D820))</f>
        <v/>
      </c>
    </row>
    <row r="821">
      <c r="A821">
        <f>IF(B821="","",VLOOKUP(B821,Lists!$A$2:$B$25,2,FALSE)&amp;"-"&amp;D821&amp;"-"&amp;TEXT(E821,"000"))</f>
        <v/>
      </c>
      <c r="E821">
        <f>IF(B821="","",COUNTIFS($B$2:B821,B821,$D$2:D821,D821))</f>
        <v/>
      </c>
    </row>
    <row r="822">
      <c r="A822">
        <f>IF(B822="","",VLOOKUP(B822,Lists!$A$2:$B$25,2,FALSE)&amp;"-"&amp;D822&amp;"-"&amp;TEXT(E822,"000"))</f>
        <v/>
      </c>
      <c r="E822">
        <f>IF(B822="","",COUNTIFS($B$2:B822,B822,$D$2:D822,D822))</f>
        <v/>
      </c>
    </row>
    <row r="823">
      <c r="A823">
        <f>IF(B823="","",VLOOKUP(B823,Lists!$A$2:$B$25,2,FALSE)&amp;"-"&amp;D823&amp;"-"&amp;TEXT(E823,"000"))</f>
        <v/>
      </c>
      <c r="E823">
        <f>IF(B823="","",COUNTIFS($B$2:B823,B823,$D$2:D823,D823))</f>
        <v/>
      </c>
    </row>
    <row r="824">
      <c r="A824">
        <f>IF(B824="","",VLOOKUP(B824,Lists!$A$2:$B$25,2,FALSE)&amp;"-"&amp;D824&amp;"-"&amp;TEXT(E824,"000"))</f>
        <v/>
      </c>
      <c r="E824">
        <f>IF(B824="","",COUNTIFS($B$2:B824,B824,$D$2:D824,D824))</f>
        <v/>
      </c>
    </row>
    <row r="825">
      <c r="A825">
        <f>IF(B825="","",VLOOKUP(B825,Lists!$A$2:$B$25,2,FALSE)&amp;"-"&amp;D825&amp;"-"&amp;TEXT(E825,"000"))</f>
        <v/>
      </c>
      <c r="E825">
        <f>IF(B825="","",COUNTIFS($B$2:B825,B825,$D$2:D825,D825))</f>
        <v/>
      </c>
    </row>
    <row r="826">
      <c r="A826">
        <f>IF(B826="","",VLOOKUP(B826,Lists!$A$2:$B$25,2,FALSE)&amp;"-"&amp;D826&amp;"-"&amp;TEXT(E826,"000"))</f>
        <v/>
      </c>
      <c r="E826">
        <f>IF(B826="","",COUNTIFS($B$2:B826,B826,$D$2:D826,D826))</f>
        <v/>
      </c>
    </row>
    <row r="827">
      <c r="A827">
        <f>IF(B827="","",VLOOKUP(B827,Lists!$A$2:$B$25,2,FALSE)&amp;"-"&amp;D827&amp;"-"&amp;TEXT(E827,"000"))</f>
        <v/>
      </c>
      <c r="E827">
        <f>IF(B827="","",COUNTIFS($B$2:B827,B827,$D$2:D827,D827))</f>
        <v/>
      </c>
    </row>
    <row r="828">
      <c r="A828">
        <f>IF(B828="","",VLOOKUP(B828,Lists!$A$2:$B$25,2,FALSE)&amp;"-"&amp;D828&amp;"-"&amp;TEXT(E828,"000"))</f>
        <v/>
      </c>
      <c r="E828">
        <f>IF(B828="","",COUNTIFS($B$2:B828,B828,$D$2:D828,D828))</f>
        <v/>
      </c>
    </row>
    <row r="829">
      <c r="A829">
        <f>IF(B829="","",VLOOKUP(B829,Lists!$A$2:$B$25,2,FALSE)&amp;"-"&amp;D829&amp;"-"&amp;TEXT(E829,"000"))</f>
        <v/>
      </c>
      <c r="E829">
        <f>IF(B829="","",COUNTIFS($B$2:B829,B829,$D$2:D829,D829))</f>
        <v/>
      </c>
    </row>
    <row r="830">
      <c r="A830">
        <f>IF(B830="","",VLOOKUP(B830,Lists!$A$2:$B$25,2,FALSE)&amp;"-"&amp;D830&amp;"-"&amp;TEXT(E830,"000"))</f>
        <v/>
      </c>
      <c r="E830">
        <f>IF(B830="","",COUNTIFS($B$2:B830,B830,$D$2:D830,D830))</f>
        <v/>
      </c>
    </row>
    <row r="831">
      <c r="A831">
        <f>IF(B831="","",VLOOKUP(B831,Lists!$A$2:$B$25,2,FALSE)&amp;"-"&amp;D831&amp;"-"&amp;TEXT(E831,"000"))</f>
        <v/>
      </c>
      <c r="E831">
        <f>IF(B831="","",COUNTIFS($B$2:B831,B831,$D$2:D831,D831))</f>
        <v/>
      </c>
    </row>
    <row r="832">
      <c r="A832">
        <f>IF(B832="","",VLOOKUP(B832,Lists!$A$2:$B$25,2,FALSE)&amp;"-"&amp;D832&amp;"-"&amp;TEXT(E832,"000"))</f>
        <v/>
      </c>
      <c r="E832">
        <f>IF(B832="","",COUNTIFS($B$2:B832,B832,$D$2:D832,D832))</f>
        <v/>
      </c>
    </row>
    <row r="833">
      <c r="A833">
        <f>IF(B833="","",VLOOKUP(B833,Lists!$A$2:$B$25,2,FALSE)&amp;"-"&amp;D833&amp;"-"&amp;TEXT(E833,"000"))</f>
        <v/>
      </c>
      <c r="E833">
        <f>IF(B833="","",COUNTIFS($B$2:B833,B833,$D$2:D833,D833))</f>
        <v/>
      </c>
    </row>
    <row r="834">
      <c r="A834">
        <f>IF(B834="","",VLOOKUP(B834,Lists!$A$2:$B$25,2,FALSE)&amp;"-"&amp;D834&amp;"-"&amp;TEXT(E834,"000"))</f>
        <v/>
      </c>
      <c r="E834">
        <f>IF(B834="","",COUNTIFS($B$2:B834,B834,$D$2:D834,D834))</f>
        <v/>
      </c>
    </row>
    <row r="835">
      <c r="A835">
        <f>IF(B835="","",VLOOKUP(B835,Lists!$A$2:$B$25,2,FALSE)&amp;"-"&amp;D835&amp;"-"&amp;TEXT(E835,"000"))</f>
        <v/>
      </c>
      <c r="E835">
        <f>IF(B835="","",COUNTIFS($B$2:B835,B835,$D$2:D835,D835))</f>
        <v/>
      </c>
    </row>
    <row r="836">
      <c r="A836">
        <f>IF(B836="","",VLOOKUP(B836,Lists!$A$2:$B$25,2,FALSE)&amp;"-"&amp;D836&amp;"-"&amp;TEXT(E836,"000"))</f>
        <v/>
      </c>
      <c r="E836">
        <f>IF(B836="","",COUNTIFS($B$2:B836,B836,$D$2:D836,D836))</f>
        <v/>
      </c>
    </row>
    <row r="837">
      <c r="A837">
        <f>IF(B837="","",VLOOKUP(B837,Lists!$A$2:$B$25,2,FALSE)&amp;"-"&amp;D837&amp;"-"&amp;TEXT(E837,"000"))</f>
        <v/>
      </c>
      <c r="E837">
        <f>IF(B837="","",COUNTIFS($B$2:B837,B837,$D$2:D837,D837))</f>
        <v/>
      </c>
    </row>
    <row r="838">
      <c r="A838">
        <f>IF(B838="","",VLOOKUP(B838,Lists!$A$2:$B$25,2,FALSE)&amp;"-"&amp;D838&amp;"-"&amp;TEXT(E838,"000"))</f>
        <v/>
      </c>
      <c r="E838">
        <f>IF(B838="","",COUNTIFS($B$2:B838,B838,$D$2:D838,D838))</f>
        <v/>
      </c>
    </row>
    <row r="839">
      <c r="A839">
        <f>IF(B839="","",VLOOKUP(B839,Lists!$A$2:$B$25,2,FALSE)&amp;"-"&amp;D839&amp;"-"&amp;TEXT(E839,"000"))</f>
        <v/>
      </c>
      <c r="E839">
        <f>IF(B839="","",COUNTIFS($B$2:B839,B839,$D$2:D839,D839))</f>
        <v/>
      </c>
    </row>
    <row r="840">
      <c r="A840">
        <f>IF(B840="","",VLOOKUP(B840,Lists!$A$2:$B$25,2,FALSE)&amp;"-"&amp;D840&amp;"-"&amp;TEXT(E840,"000"))</f>
        <v/>
      </c>
      <c r="E840">
        <f>IF(B840="","",COUNTIFS($B$2:B840,B840,$D$2:D840,D840))</f>
        <v/>
      </c>
    </row>
    <row r="841">
      <c r="A841">
        <f>IF(B841="","",VLOOKUP(B841,Lists!$A$2:$B$25,2,FALSE)&amp;"-"&amp;D841&amp;"-"&amp;TEXT(E841,"000"))</f>
        <v/>
      </c>
      <c r="E841">
        <f>IF(B841="","",COUNTIFS($B$2:B841,B841,$D$2:D841,D841))</f>
        <v/>
      </c>
    </row>
    <row r="842">
      <c r="A842">
        <f>IF(B842="","",VLOOKUP(B842,Lists!$A$2:$B$25,2,FALSE)&amp;"-"&amp;D842&amp;"-"&amp;TEXT(E842,"000"))</f>
        <v/>
      </c>
      <c r="E842">
        <f>IF(B842="","",COUNTIFS($B$2:B842,B842,$D$2:D842,D842))</f>
        <v/>
      </c>
    </row>
    <row r="843">
      <c r="A843">
        <f>IF(B843="","",VLOOKUP(B843,Lists!$A$2:$B$25,2,FALSE)&amp;"-"&amp;D843&amp;"-"&amp;TEXT(E843,"000"))</f>
        <v/>
      </c>
      <c r="E843">
        <f>IF(B843="","",COUNTIFS($B$2:B843,B843,$D$2:D843,D843))</f>
        <v/>
      </c>
    </row>
    <row r="844">
      <c r="A844">
        <f>IF(B844="","",VLOOKUP(B844,Lists!$A$2:$B$25,2,FALSE)&amp;"-"&amp;D844&amp;"-"&amp;TEXT(E844,"000"))</f>
        <v/>
      </c>
      <c r="E844">
        <f>IF(B844="","",COUNTIFS($B$2:B844,B844,$D$2:D844,D844))</f>
        <v/>
      </c>
    </row>
    <row r="845">
      <c r="A845">
        <f>IF(B845="","",VLOOKUP(B845,Lists!$A$2:$B$25,2,FALSE)&amp;"-"&amp;D845&amp;"-"&amp;TEXT(E845,"000"))</f>
        <v/>
      </c>
      <c r="E845">
        <f>IF(B845="","",COUNTIFS($B$2:B845,B845,$D$2:D845,D845))</f>
        <v/>
      </c>
    </row>
    <row r="846">
      <c r="A846">
        <f>IF(B846="","",VLOOKUP(B846,Lists!$A$2:$B$25,2,FALSE)&amp;"-"&amp;D846&amp;"-"&amp;TEXT(E846,"000"))</f>
        <v/>
      </c>
      <c r="E846">
        <f>IF(B846="","",COUNTIFS($B$2:B846,B846,$D$2:D846,D846))</f>
        <v/>
      </c>
    </row>
    <row r="847">
      <c r="A847">
        <f>IF(B847="","",VLOOKUP(B847,Lists!$A$2:$B$25,2,FALSE)&amp;"-"&amp;D847&amp;"-"&amp;TEXT(E847,"000"))</f>
        <v/>
      </c>
      <c r="E847">
        <f>IF(B847="","",COUNTIFS($B$2:B847,B847,$D$2:D847,D847))</f>
        <v/>
      </c>
    </row>
    <row r="848">
      <c r="A848">
        <f>IF(B848="","",VLOOKUP(B848,Lists!$A$2:$B$25,2,FALSE)&amp;"-"&amp;D848&amp;"-"&amp;TEXT(E848,"000"))</f>
        <v/>
      </c>
      <c r="E848">
        <f>IF(B848="","",COUNTIFS($B$2:B848,B848,$D$2:D848,D848))</f>
        <v/>
      </c>
    </row>
    <row r="849">
      <c r="A849">
        <f>IF(B849="","",VLOOKUP(B849,Lists!$A$2:$B$25,2,FALSE)&amp;"-"&amp;D849&amp;"-"&amp;TEXT(E849,"000"))</f>
        <v/>
      </c>
      <c r="E849">
        <f>IF(B849="","",COUNTIFS($B$2:B849,B849,$D$2:D849,D849))</f>
        <v/>
      </c>
    </row>
    <row r="850">
      <c r="A850">
        <f>IF(B850="","",VLOOKUP(B850,Lists!$A$2:$B$25,2,FALSE)&amp;"-"&amp;D850&amp;"-"&amp;TEXT(E850,"000"))</f>
        <v/>
      </c>
      <c r="E850">
        <f>IF(B850="","",COUNTIFS($B$2:B850,B850,$D$2:D850,D850))</f>
        <v/>
      </c>
    </row>
    <row r="851">
      <c r="A851">
        <f>IF(B851="","",VLOOKUP(B851,Lists!$A$2:$B$25,2,FALSE)&amp;"-"&amp;D851&amp;"-"&amp;TEXT(E851,"000"))</f>
        <v/>
      </c>
      <c r="E851">
        <f>IF(B851="","",COUNTIFS($B$2:B851,B851,$D$2:D851,D851))</f>
        <v/>
      </c>
    </row>
    <row r="852">
      <c r="A852">
        <f>IF(B852="","",VLOOKUP(B852,Lists!$A$2:$B$25,2,FALSE)&amp;"-"&amp;D852&amp;"-"&amp;TEXT(E852,"000"))</f>
        <v/>
      </c>
      <c r="E852">
        <f>IF(B852="","",COUNTIFS($B$2:B852,B852,$D$2:D852,D852))</f>
        <v/>
      </c>
    </row>
    <row r="853">
      <c r="A853">
        <f>IF(B853="","",VLOOKUP(B853,Lists!$A$2:$B$25,2,FALSE)&amp;"-"&amp;D853&amp;"-"&amp;TEXT(E853,"000"))</f>
        <v/>
      </c>
      <c r="E853">
        <f>IF(B853="","",COUNTIFS($B$2:B853,B853,$D$2:D853,D853))</f>
        <v/>
      </c>
    </row>
    <row r="854">
      <c r="A854">
        <f>IF(B854="","",VLOOKUP(B854,Lists!$A$2:$B$25,2,FALSE)&amp;"-"&amp;D854&amp;"-"&amp;TEXT(E854,"000"))</f>
        <v/>
      </c>
      <c r="E854">
        <f>IF(B854="","",COUNTIFS($B$2:B854,B854,$D$2:D854,D854))</f>
        <v/>
      </c>
    </row>
    <row r="855">
      <c r="A855">
        <f>IF(B855="","",VLOOKUP(B855,Lists!$A$2:$B$25,2,FALSE)&amp;"-"&amp;D855&amp;"-"&amp;TEXT(E855,"000"))</f>
        <v/>
      </c>
      <c r="E855">
        <f>IF(B855="","",COUNTIFS($B$2:B855,B855,$D$2:D855,D855))</f>
        <v/>
      </c>
    </row>
    <row r="856">
      <c r="A856">
        <f>IF(B856="","",VLOOKUP(B856,Lists!$A$2:$B$25,2,FALSE)&amp;"-"&amp;D856&amp;"-"&amp;TEXT(E856,"000"))</f>
        <v/>
      </c>
      <c r="E856">
        <f>IF(B856="","",COUNTIFS($B$2:B856,B856,$D$2:D856,D856))</f>
        <v/>
      </c>
    </row>
    <row r="857">
      <c r="A857">
        <f>IF(B857="","",VLOOKUP(B857,Lists!$A$2:$B$25,2,FALSE)&amp;"-"&amp;D857&amp;"-"&amp;TEXT(E857,"000"))</f>
        <v/>
      </c>
      <c r="E857">
        <f>IF(B857="","",COUNTIFS($B$2:B857,B857,$D$2:D857,D857))</f>
        <v/>
      </c>
    </row>
    <row r="858">
      <c r="A858">
        <f>IF(B858="","",VLOOKUP(B858,Lists!$A$2:$B$25,2,FALSE)&amp;"-"&amp;D858&amp;"-"&amp;TEXT(E858,"000"))</f>
        <v/>
      </c>
      <c r="E858">
        <f>IF(B858="","",COUNTIFS($B$2:B858,B858,$D$2:D858,D858))</f>
        <v/>
      </c>
    </row>
    <row r="859">
      <c r="A859">
        <f>IF(B859="","",VLOOKUP(B859,Lists!$A$2:$B$25,2,FALSE)&amp;"-"&amp;D859&amp;"-"&amp;TEXT(E859,"000"))</f>
        <v/>
      </c>
      <c r="E859">
        <f>IF(B859="","",COUNTIFS($B$2:B859,B859,$D$2:D859,D859))</f>
        <v/>
      </c>
    </row>
    <row r="860">
      <c r="A860">
        <f>IF(B860="","",VLOOKUP(B860,Lists!$A$2:$B$25,2,FALSE)&amp;"-"&amp;D860&amp;"-"&amp;TEXT(E860,"000"))</f>
        <v/>
      </c>
      <c r="E860">
        <f>IF(B860="","",COUNTIFS($B$2:B860,B860,$D$2:D860,D860))</f>
        <v/>
      </c>
    </row>
    <row r="861">
      <c r="A861">
        <f>IF(B861="","",VLOOKUP(B861,Lists!$A$2:$B$25,2,FALSE)&amp;"-"&amp;D861&amp;"-"&amp;TEXT(E861,"000"))</f>
        <v/>
      </c>
      <c r="E861">
        <f>IF(B861="","",COUNTIFS($B$2:B861,B861,$D$2:D861,D861))</f>
        <v/>
      </c>
    </row>
    <row r="862">
      <c r="A862">
        <f>IF(B862="","",VLOOKUP(B862,Lists!$A$2:$B$25,2,FALSE)&amp;"-"&amp;D862&amp;"-"&amp;TEXT(E862,"000"))</f>
        <v/>
      </c>
      <c r="E862">
        <f>IF(B862="","",COUNTIFS($B$2:B862,B862,$D$2:D862,D862))</f>
        <v/>
      </c>
    </row>
    <row r="863">
      <c r="A863">
        <f>IF(B863="","",VLOOKUP(B863,Lists!$A$2:$B$25,2,FALSE)&amp;"-"&amp;D863&amp;"-"&amp;TEXT(E863,"000"))</f>
        <v/>
      </c>
      <c r="E863">
        <f>IF(B863="","",COUNTIFS($B$2:B863,B863,$D$2:D863,D863))</f>
        <v/>
      </c>
    </row>
    <row r="864">
      <c r="A864">
        <f>IF(B864="","",VLOOKUP(B864,Lists!$A$2:$B$25,2,FALSE)&amp;"-"&amp;D864&amp;"-"&amp;TEXT(E864,"000"))</f>
        <v/>
      </c>
      <c r="E864">
        <f>IF(B864="","",COUNTIFS($B$2:B864,B864,$D$2:D864,D864))</f>
        <v/>
      </c>
    </row>
    <row r="865">
      <c r="A865">
        <f>IF(B865="","",VLOOKUP(B865,Lists!$A$2:$B$25,2,FALSE)&amp;"-"&amp;D865&amp;"-"&amp;TEXT(E865,"000"))</f>
        <v/>
      </c>
      <c r="E865">
        <f>IF(B865="","",COUNTIFS($B$2:B865,B865,$D$2:D865,D865))</f>
        <v/>
      </c>
    </row>
    <row r="866">
      <c r="A866">
        <f>IF(B866="","",VLOOKUP(B866,Lists!$A$2:$B$25,2,FALSE)&amp;"-"&amp;D866&amp;"-"&amp;TEXT(E866,"000"))</f>
        <v/>
      </c>
      <c r="E866">
        <f>IF(B866="","",COUNTIFS($B$2:B866,B866,$D$2:D866,D866))</f>
        <v/>
      </c>
    </row>
    <row r="867">
      <c r="A867">
        <f>IF(B867="","",VLOOKUP(B867,Lists!$A$2:$B$25,2,FALSE)&amp;"-"&amp;D867&amp;"-"&amp;TEXT(E867,"000"))</f>
        <v/>
      </c>
      <c r="E867">
        <f>IF(B867="","",COUNTIFS($B$2:B867,B867,$D$2:D867,D867))</f>
        <v/>
      </c>
    </row>
    <row r="868">
      <c r="A868">
        <f>IF(B868="","",VLOOKUP(B868,Lists!$A$2:$B$25,2,FALSE)&amp;"-"&amp;D868&amp;"-"&amp;TEXT(E868,"000"))</f>
        <v/>
      </c>
      <c r="E868">
        <f>IF(B868="","",COUNTIFS($B$2:B868,B868,$D$2:D868,D868))</f>
        <v/>
      </c>
    </row>
    <row r="869">
      <c r="A869">
        <f>IF(B869="","",VLOOKUP(B869,Lists!$A$2:$B$25,2,FALSE)&amp;"-"&amp;D869&amp;"-"&amp;TEXT(E869,"000"))</f>
        <v/>
      </c>
      <c r="E869">
        <f>IF(B869="","",COUNTIFS($B$2:B869,B869,$D$2:D869,D869))</f>
        <v/>
      </c>
    </row>
    <row r="870">
      <c r="A870">
        <f>IF(B870="","",VLOOKUP(B870,Lists!$A$2:$B$25,2,FALSE)&amp;"-"&amp;D870&amp;"-"&amp;TEXT(E870,"000"))</f>
        <v/>
      </c>
      <c r="E870">
        <f>IF(B870="","",COUNTIFS($B$2:B870,B870,$D$2:D870,D870))</f>
        <v/>
      </c>
    </row>
    <row r="871">
      <c r="A871">
        <f>IF(B871="","",VLOOKUP(B871,Lists!$A$2:$B$25,2,FALSE)&amp;"-"&amp;D871&amp;"-"&amp;TEXT(E871,"000"))</f>
        <v/>
      </c>
      <c r="E871">
        <f>IF(B871="","",COUNTIFS($B$2:B871,B871,$D$2:D871,D871))</f>
        <v/>
      </c>
    </row>
    <row r="872">
      <c r="A872">
        <f>IF(B872="","",VLOOKUP(B872,Lists!$A$2:$B$25,2,FALSE)&amp;"-"&amp;D872&amp;"-"&amp;TEXT(E872,"000"))</f>
        <v/>
      </c>
      <c r="E872">
        <f>IF(B872="","",COUNTIFS($B$2:B872,B872,$D$2:D872,D872))</f>
        <v/>
      </c>
    </row>
    <row r="873">
      <c r="A873">
        <f>IF(B873="","",VLOOKUP(B873,Lists!$A$2:$B$25,2,FALSE)&amp;"-"&amp;D873&amp;"-"&amp;TEXT(E873,"000"))</f>
        <v/>
      </c>
      <c r="E873">
        <f>IF(B873="","",COUNTIFS($B$2:B873,B873,$D$2:D873,D873))</f>
        <v/>
      </c>
    </row>
    <row r="874">
      <c r="A874">
        <f>IF(B874="","",VLOOKUP(B874,Lists!$A$2:$B$25,2,FALSE)&amp;"-"&amp;D874&amp;"-"&amp;TEXT(E874,"000"))</f>
        <v/>
      </c>
      <c r="E874">
        <f>IF(B874="","",COUNTIFS($B$2:B874,B874,$D$2:D874,D874))</f>
        <v/>
      </c>
    </row>
    <row r="875">
      <c r="A875">
        <f>IF(B875="","",VLOOKUP(B875,Lists!$A$2:$B$25,2,FALSE)&amp;"-"&amp;D875&amp;"-"&amp;TEXT(E875,"000"))</f>
        <v/>
      </c>
      <c r="E875">
        <f>IF(B875="","",COUNTIFS($B$2:B875,B875,$D$2:D875,D875))</f>
        <v/>
      </c>
    </row>
    <row r="876">
      <c r="A876">
        <f>IF(B876="","",VLOOKUP(B876,Lists!$A$2:$B$25,2,FALSE)&amp;"-"&amp;D876&amp;"-"&amp;TEXT(E876,"000"))</f>
        <v/>
      </c>
      <c r="E876">
        <f>IF(B876="","",COUNTIFS($B$2:B876,B876,$D$2:D876,D876))</f>
        <v/>
      </c>
    </row>
    <row r="877">
      <c r="A877">
        <f>IF(B877="","",VLOOKUP(B877,Lists!$A$2:$B$25,2,FALSE)&amp;"-"&amp;D877&amp;"-"&amp;TEXT(E877,"000"))</f>
        <v/>
      </c>
      <c r="E877">
        <f>IF(B877="","",COUNTIFS($B$2:B877,B877,$D$2:D877,D877))</f>
        <v/>
      </c>
    </row>
    <row r="878">
      <c r="A878">
        <f>IF(B878="","",VLOOKUP(B878,Lists!$A$2:$B$25,2,FALSE)&amp;"-"&amp;D878&amp;"-"&amp;TEXT(E878,"000"))</f>
        <v/>
      </c>
      <c r="E878">
        <f>IF(B878="","",COUNTIFS($B$2:B878,B878,$D$2:D878,D878))</f>
        <v/>
      </c>
    </row>
    <row r="879">
      <c r="A879">
        <f>IF(B879="","",VLOOKUP(B879,Lists!$A$2:$B$25,2,FALSE)&amp;"-"&amp;D879&amp;"-"&amp;TEXT(E879,"000"))</f>
        <v/>
      </c>
      <c r="E879">
        <f>IF(B879="","",COUNTIFS($B$2:B879,B879,$D$2:D879,D879))</f>
        <v/>
      </c>
    </row>
    <row r="880">
      <c r="A880">
        <f>IF(B880="","",VLOOKUP(B880,Lists!$A$2:$B$25,2,FALSE)&amp;"-"&amp;D880&amp;"-"&amp;TEXT(E880,"000"))</f>
        <v/>
      </c>
      <c r="E880">
        <f>IF(B880="","",COUNTIFS($B$2:B880,B880,$D$2:D880,D880))</f>
        <v/>
      </c>
    </row>
    <row r="881">
      <c r="A881">
        <f>IF(B881="","",VLOOKUP(B881,Lists!$A$2:$B$25,2,FALSE)&amp;"-"&amp;D881&amp;"-"&amp;TEXT(E881,"000"))</f>
        <v/>
      </c>
      <c r="E881">
        <f>IF(B881="","",COUNTIFS($B$2:B881,B881,$D$2:D881,D881))</f>
        <v/>
      </c>
    </row>
    <row r="882">
      <c r="A882">
        <f>IF(B882="","",VLOOKUP(B882,Lists!$A$2:$B$25,2,FALSE)&amp;"-"&amp;D882&amp;"-"&amp;TEXT(E882,"000"))</f>
        <v/>
      </c>
      <c r="E882">
        <f>IF(B882="","",COUNTIFS($B$2:B882,B882,$D$2:D882,D882))</f>
        <v/>
      </c>
    </row>
    <row r="883">
      <c r="A883">
        <f>IF(B883="","",VLOOKUP(B883,Lists!$A$2:$B$25,2,FALSE)&amp;"-"&amp;D883&amp;"-"&amp;TEXT(E883,"000"))</f>
        <v/>
      </c>
      <c r="E883">
        <f>IF(B883="","",COUNTIFS($B$2:B883,B883,$D$2:D883,D883))</f>
        <v/>
      </c>
    </row>
    <row r="884">
      <c r="A884">
        <f>IF(B884="","",VLOOKUP(B884,Lists!$A$2:$B$25,2,FALSE)&amp;"-"&amp;D884&amp;"-"&amp;TEXT(E884,"000"))</f>
        <v/>
      </c>
      <c r="E884">
        <f>IF(B884="","",COUNTIFS($B$2:B884,B884,$D$2:D884,D884))</f>
        <v/>
      </c>
    </row>
    <row r="885">
      <c r="A885">
        <f>IF(B885="","",VLOOKUP(B885,Lists!$A$2:$B$25,2,FALSE)&amp;"-"&amp;D885&amp;"-"&amp;TEXT(E885,"000"))</f>
        <v/>
      </c>
      <c r="E885">
        <f>IF(B885="","",COUNTIFS($B$2:B885,B885,$D$2:D885,D885))</f>
        <v/>
      </c>
    </row>
    <row r="886">
      <c r="A886">
        <f>IF(B886="","",VLOOKUP(B886,Lists!$A$2:$B$25,2,FALSE)&amp;"-"&amp;D886&amp;"-"&amp;TEXT(E886,"000"))</f>
        <v/>
      </c>
      <c r="E886">
        <f>IF(B886="","",COUNTIFS($B$2:B886,B886,$D$2:D886,D886))</f>
        <v/>
      </c>
    </row>
    <row r="887">
      <c r="A887">
        <f>IF(B887="","",VLOOKUP(B887,Lists!$A$2:$B$25,2,FALSE)&amp;"-"&amp;D887&amp;"-"&amp;TEXT(E887,"000"))</f>
        <v/>
      </c>
      <c r="E887">
        <f>IF(B887="","",COUNTIFS($B$2:B887,B887,$D$2:D887,D887))</f>
        <v/>
      </c>
    </row>
    <row r="888">
      <c r="A888">
        <f>IF(B888="","",VLOOKUP(B888,Lists!$A$2:$B$25,2,FALSE)&amp;"-"&amp;D888&amp;"-"&amp;TEXT(E888,"000"))</f>
        <v/>
      </c>
      <c r="E888">
        <f>IF(B888="","",COUNTIFS($B$2:B888,B888,$D$2:D888,D888))</f>
        <v/>
      </c>
    </row>
    <row r="889">
      <c r="A889">
        <f>IF(B889="","",VLOOKUP(B889,Lists!$A$2:$B$25,2,FALSE)&amp;"-"&amp;D889&amp;"-"&amp;TEXT(E889,"000"))</f>
        <v/>
      </c>
      <c r="E889">
        <f>IF(B889="","",COUNTIFS($B$2:B889,B889,$D$2:D889,D889))</f>
        <v/>
      </c>
    </row>
    <row r="890">
      <c r="A890">
        <f>IF(B890="","",VLOOKUP(B890,Lists!$A$2:$B$25,2,FALSE)&amp;"-"&amp;D890&amp;"-"&amp;TEXT(E890,"000"))</f>
        <v/>
      </c>
      <c r="E890">
        <f>IF(B890="","",COUNTIFS($B$2:B890,B890,$D$2:D890,D890))</f>
        <v/>
      </c>
    </row>
    <row r="891">
      <c r="A891">
        <f>IF(B891="","",VLOOKUP(B891,Lists!$A$2:$B$25,2,FALSE)&amp;"-"&amp;D891&amp;"-"&amp;TEXT(E891,"000"))</f>
        <v/>
      </c>
      <c r="E891">
        <f>IF(B891="","",COUNTIFS($B$2:B891,B891,$D$2:D891,D891))</f>
        <v/>
      </c>
    </row>
    <row r="892">
      <c r="A892">
        <f>IF(B892="","",VLOOKUP(B892,Lists!$A$2:$B$25,2,FALSE)&amp;"-"&amp;D892&amp;"-"&amp;TEXT(E892,"000"))</f>
        <v/>
      </c>
      <c r="E892">
        <f>IF(B892="","",COUNTIFS($B$2:B892,B892,$D$2:D892,D892))</f>
        <v/>
      </c>
    </row>
    <row r="893">
      <c r="A893">
        <f>IF(B893="","",VLOOKUP(B893,Lists!$A$2:$B$25,2,FALSE)&amp;"-"&amp;D893&amp;"-"&amp;TEXT(E893,"000"))</f>
        <v/>
      </c>
      <c r="E893">
        <f>IF(B893="","",COUNTIFS($B$2:B893,B893,$D$2:D893,D893))</f>
        <v/>
      </c>
    </row>
    <row r="894">
      <c r="A894">
        <f>IF(B894="","",VLOOKUP(B894,Lists!$A$2:$B$25,2,FALSE)&amp;"-"&amp;D894&amp;"-"&amp;TEXT(E894,"000"))</f>
        <v/>
      </c>
      <c r="E894">
        <f>IF(B894="","",COUNTIFS($B$2:B894,B894,$D$2:D894,D894))</f>
        <v/>
      </c>
    </row>
    <row r="895">
      <c r="A895">
        <f>IF(B895="","",VLOOKUP(B895,Lists!$A$2:$B$25,2,FALSE)&amp;"-"&amp;D895&amp;"-"&amp;TEXT(E895,"000"))</f>
        <v/>
      </c>
      <c r="E895">
        <f>IF(B895="","",COUNTIFS($B$2:B895,B895,$D$2:D895,D895))</f>
        <v/>
      </c>
    </row>
    <row r="896">
      <c r="A896">
        <f>IF(B896="","",VLOOKUP(B896,Lists!$A$2:$B$25,2,FALSE)&amp;"-"&amp;D896&amp;"-"&amp;TEXT(E896,"000"))</f>
        <v/>
      </c>
      <c r="E896">
        <f>IF(B896="","",COUNTIFS($B$2:B896,B896,$D$2:D896,D896))</f>
        <v/>
      </c>
    </row>
    <row r="897">
      <c r="A897">
        <f>IF(B897="","",VLOOKUP(B897,Lists!$A$2:$B$25,2,FALSE)&amp;"-"&amp;D897&amp;"-"&amp;TEXT(E897,"000"))</f>
        <v/>
      </c>
      <c r="E897">
        <f>IF(B897="","",COUNTIFS($B$2:B897,B897,$D$2:D897,D897))</f>
        <v/>
      </c>
    </row>
    <row r="898">
      <c r="A898">
        <f>IF(B898="","",VLOOKUP(B898,Lists!$A$2:$B$25,2,FALSE)&amp;"-"&amp;D898&amp;"-"&amp;TEXT(E898,"000"))</f>
        <v/>
      </c>
      <c r="E898">
        <f>IF(B898="","",COUNTIFS($B$2:B898,B898,$D$2:D898,D898))</f>
        <v/>
      </c>
    </row>
    <row r="899">
      <c r="A899">
        <f>IF(B899="","",VLOOKUP(B899,Lists!$A$2:$B$25,2,FALSE)&amp;"-"&amp;D899&amp;"-"&amp;TEXT(E899,"000"))</f>
        <v/>
      </c>
      <c r="E899">
        <f>IF(B899="","",COUNTIFS($B$2:B899,B899,$D$2:D899,D899))</f>
        <v/>
      </c>
    </row>
    <row r="900">
      <c r="A900">
        <f>IF(B900="","",VLOOKUP(B900,Lists!$A$2:$B$25,2,FALSE)&amp;"-"&amp;D900&amp;"-"&amp;TEXT(E900,"000"))</f>
        <v/>
      </c>
      <c r="E900">
        <f>IF(B900="","",COUNTIFS($B$2:B900,B900,$D$2:D900,D900))</f>
        <v/>
      </c>
    </row>
    <row r="901">
      <c r="A901">
        <f>IF(B901="","",VLOOKUP(B901,Lists!$A$2:$B$25,2,FALSE)&amp;"-"&amp;D901&amp;"-"&amp;TEXT(E901,"000"))</f>
        <v/>
      </c>
      <c r="E901">
        <f>IF(B901="","",COUNTIFS($B$2:B901,B901,$D$2:D901,D901))</f>
        <v/>
      </c>
    </row>
    <row r="902">
      <c r="A902">
        <f>IF(B902="","",VLOOKUP(B902,Lists!$A$2:$B$25,2,FALSE)&amp;"-"&amp;D902&amp;"-"&amp;TEXT(E902,"000"))</f>
        <v/>
      </c>
      <c r="E902">
        <f>IF(B902="","",COUNTIFS($B$2:B902,B902,$D$2:D902,D902))</f>
        <v/>
      </c>
    </row>
    <row r="903">
      <c r="A903">
        <f>IF(B903="","",VLOOKUP(B903,Lists!$A$2:$B$25,2,FALSE)&amp;"-"&amp;D903&amp;"-"&amp;TEXT(E903,"000"))</f>
        <v/>
      </c>
      <c r="E903">
        <f>IF(B903="","",COUNTIFS($B$2:B903,B903,$D$2:D903,D903))</f>
        <v/>
      </c>
    </row>
    <row r="904">
      <c r="A904">
        <f>IF(B904="","",VLOOKUP(B904,Lists!$A$2:$B$25,2,FALSE)&amp;"-"&amp;D904&amp;"-"&amp;TEXT(E904,"000"))</f>
        <v/>
      </c>
      <c r="E904">
        <f>IF(B904="","",COUNTIFS($B$2:B904,B904,$D$2:D904,D904))</f>
        <v/>
      </c>
    </row>
    <row r="905">
      <c r="A905">
        <f>IF(B905="","",VLOOKUP(B905,Lists!$A$2:$B$25,2,FALSE)&amp;"-"&amp;D905&amp;"-"&amp;TEXT(E905,"000"))</f>
        <v/>
      </c>
      <c r="E905">
        <f>IF(B905="","",COUNTIFS($B$2:B905,B905,$D$2:D905,D905))</f>
        <v/>
      </c>
    </row>
    <row r="906">
      <c r="A906">
        <f>IF(B906="","",VLOOKUP(B906,Lists!$A$2:$B$25,2,FALSE)&amp;"-"&amp;D906&amp;"-"&amp;TEXT(E906,"000"))</f>
        <v/>
      </c>
      <c r="E906">
        <f>IF(B906="","",COUNTIFS($B$2:B906,B906,$D$2:D906,D906))</f>
        <v/>
      </c>
    </row>
    <row r="907">
      <c r="A907">
        <f>IF(B907="","",VLOOKUP(B907,Lists!$A$2:$B$25,2,FALSE)&amp;"-"&amp;D907&amp;"-"&amp;TEXT(E907,"000"))</f>
        <v/>
      </c>
      <c r="E907">
        <f>IF(B907="","",COUNTIFS($B$2:B907,B907,$D$2:D907,D907))</f>
        <v/>
      </c>
    </row>
    <row r="908">
      <c r="A908">
        <f>IF(B908="","",VLOOKUP(B908,Lists!$A$2:$B$25,2,FALSE)&amp;"-"&amp;D908&amp;"-"&amp;TEXT(E908,"000"))</f>
        <v/>
      </c>
      <c r="E908">
        <f>IF(B908="","",COUNTIFS($B$2:B908,B908,$D$2:D908,D908))</f>
        <v/>
      </c>
    </row>
    <row r="909">
      <c r="A909">
        <f>IF(B909="","",VLOOKUP(B909,Lists!$A$2:$B$25,2,FALSE)&amp;"-"&amp;D909&amp;"-"&amp;TEXT(E909,"000"))</f>
        <v/>
      </c>
      <c r="E909">
        <f>IF(B909="","",COUNTIFS($B$2:B909,B909,$D$2:D909,D909))</f>
        <v/>
      </c>
    </row>
    <row r="910">
      <c r="A910">
        <f>IF(B910="","",VLOOKUP(B910,Lists!$A$2:$B$25,2,FALSE)&amp;"-"&amp;D910&amp;"-"&amp;TEXT(E910,"000"))</f>
        <v/>
      </c>
      <c r="E910">
        <f>IF(B910="","",COUNTIFS($B$2:B910,B910,$D$2:D910,D910))</f>
        <v/>
      </c>
    </row>
    <row r="911">
      <c r="A911">
        <f>IF(B911="","",VLOOKUP(B911,Lists!$A$2:$B$25,2,FALSE)&amp;"-"&amp;D911&amp;"-"&amp;TEXT(E911,"000"))</f>
        <v/>
      </c>
      <c r="E911">
        <f>IF(B911="","",COUNTIFS($B$2:B911,B911,$D$2:D911,D911))</f>
        <v/>
      </c>
    </row>
    <row r="912">
      <c r="A912">
        <f>IF(B912="","",VLOOKUP(B912,Lists!$A$2:$B$25,2,FALSE)&amp;"-"&amp;D912&amp;"-"&amp;TEXT(E912,"000"))</f>
        <v/>
      </c>
      <c r="E912">
        <f>IF(B912="","",COUNTIFS($B$2:B912,B912,$D$2:D912,D912))</f>
        <v/>
      </c>
    </row>
    <row r="913">
      <c r="A913">
        <f>IF(B913="","",VLOOKUP(B913,Lists!$A$2:$B$25,2,FALSE)&amp;"-"&amp;D913&amp;"-"&amp;TEXT(E913,"000"))</f>
        <v/>
      </c>
      <c r="E913">
        <f>IF(B913="","",COUNTIFS($B$2:B913,B913,$D$2:D913,D913))</f>
        <v/>
      </c>
    </row>
    <row r="914">
      <c r="A914">
        <f>IF(B914="","",VLOOKUP(B914,Lists!$A$2:$B$25,2,FALSE)&amp;"-"&amp;D914&amp;"-"&amp;TEXT(E914,"000"))</f>
        <v/>
      </c>
      <c r="E914">
        <f>IF(B914="","",COUNTIFS($B$2:B914,B914,$D$2:D914,D914))</f>
        <v/>
      </c>
    </row>
    <row r="915">
      <c r="A915">
        <f>IF(B915="","",VLOOKUP(B915,Lists!$A$2:$B$25,2,FALSE)&amp;"-"&amp;D915&amp;"-"&amp;TEXT(E915,"000"))</f>
        <v/>
      </c>
      <c r="E915">
        <f>IF(B915="","",COUNTIFS($B$2:B915,B915,$D$2:D915,D915))</f>
        <v/>
      </c>
    </row>
    <row r="916">
      <c r="A916">
        <f>IF(B916="","",VLOOKUP(B916,Lists!$A$2:$B$25,2,FALSE)&amp;"-"&amp;D916&amp;"-"&amp;TEXT(E916,"000"))</f>
        <v/>
      </c>
      <c r="E916">
        <f>IF(B916="","",COUNTIFS($B$2:B916,B916,$D$2:D916,D916))</f>
        <v/>
      </c>
    </row>
    <row r="917">
      <c r="A917">
        <f>IF(B917="","",VLOOKUP(B917,Lists!$A$2:$B$25,2,FALSE)&amp;"-"&amp;D917&amp;"-"&amp;TEXT(E917,"000"))</f>
        <v/>
      </c>
      <c r="E917">
        <f>IF(B917="","",COUNTIFS($B$2:B917,B917,$D$2:D917,D917))</f>
        <v/>
      </c>
    </row>
    <row r="918">
      <c r="A918">
        <f>IF(B918="","",VLOOKUP(B918,Lists!$A$2:$B$25,2,FALSE)&amp;"-"&amp;D918&amp;"-"&amp;TEXT(E918,"000"))</f>
        <v/>
      </c>
      <c r="E918">
        <f>IF(B918="","",COUNTIFS($B$2:B918,B918,$D$2:D918,D918))</f>
        <v/>
      </c>
    </row>
    <row r="919">
      <c r="A919">
        <f>IF(B919="","",VLOOKUP(B919,Lists!$A$2:$B$25,2,FALSE)&amp;"-"&amp;D919&amp;"-"&amp;TEXT(E919,"000"))</f>
        <v/>
      </c>
      <c r="E919">
        <f>IF(B919="","",COUNTIFS($B$2:B919,B919,$D$2:D919,D919))</f>
        <v/>
      </c>
    </row>
    <row r="920">
      <c r="A920">
        <f>IF(B920="","",VLOOKUP(B920,Lists!$A$2:$B$25,2,FALSE)&amp;"-"&amp;D920&amp;"-"&amp;TEXT(E920,"000"))</f>
        <v/>
      </c>
      <c r="E920">
        <f>IF(B920="","",COUNTIFS($B$2:B920,B920,$D$2:D920,D920))</f>
        <v/>
      </c>
    </row>
    <row r="921">
      <c r="A921">
        <f>IF(B921="","",VLOOKUP(B921,Lists!$A$2:$B$25,2,FALSE)&amp;"-"&amp;D921&amp;"-"&amp;TEXT(E921,"000"))</f>
        <v/>
      </c>
      <c r="E921">
        <f>IF(B921="","",COUNTIFS($B$2:B921,B921,$D$2:D921,D921))</f>
        <v/>
      </c>
    </row>
    <row r="922">
      <c r="A922">
        <f>IF(B922="","",VLOOKUP(B922,Lists!$A$2:$B$25,2,FALSE)&amp;"-"&amp;D922&amp;"-"&amp;TEXT(E922,"000"))</f>
        <v/>
      </c>
      <c r="E922">
        <f>IF(B922="","",COUNTIFS($B$2:B922,B922,$D$2:D922,D922))</f>
        <v/>
      </c>
    </row>
    <row r="923">
      <c r="A923">
        <f>IF(B923="","",VLOOKUP(B923,Lists!$A$2:$B$25,2,FALSE)&amp;"-"&amp;D923&amp;"-"&amp;TEXT(E923,"000"))</f>
        <v/>
      </c>
      <c r="E923">
        <f>IF(B923="","",COUNTIFS($B$2:B923,B923,$D$2:D923,D923))</f>
        <v/>
      </c>
    </row>
    <row r="924">
      <c r="A924">
        <f>IF(B924="","",VLOOKUP(B924,Lists!$A$2:$B$25,2,FALSE)&amp;"-"&amp;D924&amp;"-"&amp;TEXT(E924,"000"))</f>
        <v/>
      </c>
      <c r="E924">
        <f>IF(B924="","",COUNTIFS($B$2:B924,B924,$D$2:D924,D924))</f>
        <v/>
      </c>
    </row>
    <row r="925">
      <c r="A925">
        <f>IF(B925="","",VLOOKUP(B925,Lists!$A$2:$B$25,2,FALSE)&amp;"-"&amp;D925&amp;"-"&amp;TEXT(E925,"000"))</f>
        <v/>
      </c>
      <c r="E925">
        <f>IF(B925="","",COUNTIFS($B$2:B925,B925,$D$2:D925,D925))</f>
        <v/>
      </c>
    </row>
    <row r="926">
      <c r="A926">
        <f>IF(B926="","",VLOOKUP(B926,Lists!$A$2:$B$25,2,FALSE)&amp;"-"&amp;D926&amp;"-"&amp;TEXT(E926,"000"))</f>
        <v/>
      </c>
      <c r="E926">
        <f>IF(B926="","",COUNTIFS($B$2:B926,B926,$D$2:D926,D926))</f>
        <v/>
      </c>
    </row>
    <row r="927">
      <c r="A927">
        <f>IF(B927="","",VLOOKUP(B927,Lists!$A$2:$B$25,2,FALSE)&amp;"-"&amp;D927&amp;"-"&amp;TEXT(E927,"000"))</f>
        <v/>
      </c>
      <c r="E927">
        <f>IF(B927="","",COUNTIFS($B$2:B927,B927,$D$2:D927,D927))</f>
        <v/>
      </c>
    </row>
    <row r="928">
      <c r="A928">
        <f>IF(B928="","",VLOOKUP(B928,Lists!$A$2:$B$25,2,FALSE)&amp;"-"&amp;D928&amp;"-"&amp;TEXT(E928,"000"))</f>
        <v/>
      </c>
      <c r="E928">
        <f>IF(B928="","",COUNTIFS($B$2:B928,B928,$D$2:D928,D928))</f>
        <v/>
      </c>
    </row>
    <row r="929">
      <c r="A929">
        <f>IF(B929="","",VLOOKUP(B929,Lists!$A$2:$B$25,2,FALSE)&amp;"-"&amp;D929&amp;"-"&amp;TEXT(E929,"000"))</f>
        <v/>
      </c>
      <c r="E929">
        <f>IF(B929="","",COUNTIFS($B$2:B929,B929,$D$2:D929,D929))</f>
        <v/>
      </c>
    </row>
    <row r="930">
      <c r="A930">
        <f>IF(B930="","",VLOOKUP(B930,Lists!$A$2:$B$25,2,FALSE)&amp;"-"&amp;D930&amp;"-"&amp;TEXT(E930,"000"))</f>
        <v/>
      </c>
      <c r="E930">
        <f>IF(B930="","",COUNTIFS($B$2:B930,B930,$D$2:D930,D930))</f>
        <v/>
      </c>
    </row>
    <row r="931">
      <c r="A931">
        <f>IF(B931="","",VLOOKUP(B931,Lists!$A$2:$B$25,2,FALSE)&amp;"-"&amp;D931&amp;"-"&amp;TEXT(E931,"000"))</f>
        <v/>
      </c>
      <c r="E931">
        <f>IF(B931="","",COUNTIFS($B$2:B931,B931,$D$2:D931,D931))</f>
        <v/>
      </c>
    </row>
    <row r="932">
      <c r="A932">
        <f>IF(B932="","",VLOOKUP(B932,Lists!$A$2:$B$25,2,FALSE)&amp;"-"&amp;D932&amp;"-"&amp;TEXT(E932,"000"))</f>
        <v/>
      </c>
      <c r="E932">
        <f>IF(B932="","",COUNTIFS($B$2:B932,B932,$D$2:D932,D932))</f>
        <v/>
      </c>
    </row>
    <row r="933">
      <c r="A933">
        <f>IF(B933="","",VLOOKUP(B933,Lists!$A$2:$B$25,2,FALSE)&amp;"-"&amp;D933&amp;"-"&amp;TEXT(E933,"000"))</f>
        <v/>
      </c>
      <c r="E933">
        <f>IF(B933="","",COUNTIFS($B$2:B933,B933,$D$2:D933,D933))</f>
        <v/>
      </c>
    </row>
    <row r="934">
      <c r="A934">
        <f>IF(B934="","",VLOOKUP(B934,Lists!$A$2:$B$25,2,FALSE)&amp;"-"&amp;D934&amp;"-"&amp;TEXT(E934,"000"))</f>
        <v/>
      </c>
      <c r="E934">
        <f>IF(B934="","",COUNTIFS($B$2:B934,B934,$D$2:D934,D934))</f>
        <v/>
      </c>
    </row>
    <row r="935">
      <c r="A935">
        <f>IF(B935="","",VLOOKUP(B935,Lists!$A$2:$B$25,2,FALSE)&amp;"-"&amp;D935&amp;"-"&amp;TEXT(E935,"000"))</f>
        <v/>
      </c>
      <c r="E935">
        <f>IF(B935="","",COUNTIFS($B$2:B935,B935,$D$2:D935,D935))</f>
        <v/>
      </c>
    </row>
    <row r="936">
      <c r="A936">
        <f>IF(B936="","",VLOOKUP(B936,Lists!$A$2:$B$25,2,FALSE)&amp;"-"&amp;D936&amp;"-"&amp;TEXT(E936,"000"))</f>
        <v/>
      </c>
      <c r="E936">
        <f>IF(B936="","",COUNTIFS($B$2:B936,B936,$D$2:D936,D936))</f>
        <v/>
      </c>
    </row>
    <row r="937">
      <c r="A937">
        <f>IF(B937="","",VLOOKUP(B937,Lists!$A$2:$B$25,2,FALSE)&amp;"-"&amp;D937&amp;"-"&amp;TEXT(E937,"000"))</f>
        <v/>
      </c>
      <c r="E937">
        <f>IF(B937="","",COUNTIFS($B$2:B937,B937,$D$2:D937,D937))</f>
        <v/>
      </c>
    </row>
    <row r="938">
      <c r="A938">
        <f>IF(B938="","",VLOOKUP(B938,Lists!$A$2:$B$25,2,FALSE)&amp;"-"&amp;D938&amp;"-"&amp;TEXT(E938,"000"))</f>
        <v/>
      </c>
      <c r="E938">
        <f>IF(B938="","",COUNTIFS($B$2:B938,B938,$D$2:D938,D938))</f>
        <v/>
      </c>
    </row>
    <row r="939">
      <c r="A939">
        <f>IF(B939="","",VLOOKUP(B939,Lists!$A$2:$B$25,2,FALSE)&amp;"-"&amp;D939&amp;"-"&amp;TEXT(E939,"000"))</f>
        <v/>
      </c>
      <c r="E939">
        <f>IF(B939="","",COUNTIFS($B$2:B939,B939,$D$2:D939,D939))</f>
        <v/>
      </c>
    </row>
    <row r="940">
      <c r="A940">
        <f>IF(B940="","",VLOOKUP(B940,Lists!$A$2:$B$25,2,FALSE)&amp;"-"&amp;D940&amp;"-"&amp;TEXT(E940,"000"))</f>
        <v/>
      </c>
      <c r="E940">
        <f>IF(B940="","",COUNTIFS($B$2:B940,B940,$D$2:D940,D940))</f>
        <v/>
      </c>
    </row>
    <row r="941">
      <c r="A941">
        <f>IF(B941="","",VLOOKUP(B941,Lists!$A$2:$B$25,2,FALSE)&amp;"-"&amp;D941&amp;"-"&amp;TEXT(E941,"000"))</f>
        <v/>
      </c>
      <c r="E941">
        <f>IF(B941="","",COUNTIFS($B$2:B941,B941,$D$2:D941,D941))</f>
        <v/>
      </c>
    </row>
    <row r="942">
      <c r="A942">
        <f>IF(B942="","",VLOOKUP(B942,Lists!$A$2:$B$25,2,FALSE)&amp;"-"&amp;D942&amp;"-"&amp;TEXT(E942,"000"))</f>
        <v/>
      </c>
      <c r="E942">
        <f>IF(B942="","",COUNTIFS($B$2:B942,B942,$D$2:D942,D942))</f>
        <v/>
      </c>
    </row>
    <row r="943">
      <c r="A943">
        <f>IF(B943="","",VLOOKUP(B943,Lists!$A$2:$B$25,2,FALSE)&amp;"-"&amp;D943&amp;"-"&amp;TEXT(E943,"000"))</f>
        <v/>
      </c>
      <c r="E943">
        <f>IF(B943="","",COUNTIFS($B$2:B943,B943,$D$2:D943,D943))</f>
        <v/>
      </c>
    </row>
    <row r="944">
      <c r="A944">
        <f>IF(B944="","",VLOOKUP(B944,Lists!$A$2:$B$25,2,FALSE)&amp;"-"&amp;D944&amp;"-"&amp;TEXT(E944,"000"))</f>
        <v/>
      </c>
      <c r="E944">
        <f>IF(B944="","",COUNTIFS($B$2:B944,B944,$D$2:D944,D944))</f>
        <v/>
      </c>
    </row>
    <row r="945">
      <c r="A945">
        <f>IF(B945="","",VLOOKUP(B945,Lists!$A$2:$B$25,2,FALSE)&amp;"-"&amp;D945&amp;"-"&amp;TEXT(E945,"000"))</f>
        <v/>
      </c>
      <c r="E945">
        <f>IF(B945="","",COUNTIFS($B$2:B945,B945,$D$2:D945,D945))</f>
        <v/>
      </c>
    </row>
    <row r="946">
      <c r="A946">
        <f>IF(B946="","",VLOOKUP(B946,Lists!$A$2:$B$25,2,FALSE)&amp;"-"&amp;D946&amp;"-"&amp;TEXT(E946,"000"))</f>
        <v/>
      </c>
      <c r="E946">
        <f>IF(B946="","",COUNTIFS($B$2:B946,B946,$D$2:D946,D946))</f>
        <v/>
      </c>
    </row>
    <row r="947">
      <c r="A947">
        <f>IF(B947="","",VLOOKUP(B947,Lists!$A$2:$B$25,2,FALSE)&amp;"-"&amp;D947&amp;"-"&amp;TEXT(E947,"000"))</f>
        <v/>
      </c>
      <c r="E947">
        <f>IF(B947="","",COUNTIFS($B$2:B947,B947,$D$2:D947,D947))</f>
        <v/>
      </c>
    </row>
    <row r="948">
      <c r="A948">
        <f>IF(B948="","",VLOOKUP(B948,Lists!$A$2:$B$25,2,FALSE)&amp;"-"&amp;D948&amp;"-"&amp;TEXT(E948,"000"))</f>
        <v/>
      </c>
      <c r="E948">
        <f>IF(B948="","",COUNTIFS($B$2:B948,B948,$D$2:D948,D948))</f>
        <v/>
      </c>
    </row>
    <row r="949">
      <c r="A949">
        <f>IF(B949="","",VLOOKUP(B949,Lists!$A$2:$B$25,2,FALSE)&amp;"-"&amp;D949&amp;"-"&amp;TEXT(E949,"000"))</f>
        <v/>
      </c>
      <c r="E949">
        <f>IF(B949="","",COUNTIFS($B$2:B949,B949,$D$2:D949,D949))</f>
        <v/>
      </c>
    </row>
    <row r="950">
      <c r="A950">
        <f>IF(B950="","",VLOOKUP(B950,Lists!$A$2:$B$25,2,FALSE)&amp;"-"&amp;D950&amp;"-"&amp;TEXT(E950,"000"))</f>
        <v/>
      </c>
      <c r="E950">
        <f>IF(B950="","",COUNTIFS($B$2:B950,B950,$D$2:D950,D950))</f>
        <v/>
      </c>
    </row>
    <row r="951">
      <c r="A951">
        <f>IF(B951="","",VLOOKUP(B951,Lists!$A$2:$B$25,2,FALSE)&amp;"-"&amp;D951&amp;"-"&amp;TEXT(E951,"000"))</f>
        <v/>
      </c>
      <c r="E951">
        <f>IF(B951="","",COUNTIFS($B$2:B951,B951,$D$2:D951,D951))</f>
        <v/>
      </c>
    </row>
    <row r="952">
      <c r="A952">
        <f>IF(B952="","",VLOOKUP(B952,Lists!$A$2:$B$25,2,FALSE)&amp;"-"&amp;D952&amp;"-"&amp;TEXT(E952,"000"))</f>
        <v/>
      </c>
      <c r="E952">
        <f>IF(B952="","",COUNTIFS($B$2:B952,B952,$D$2:D952,D952))</f>
        <v/>
      </c>
    </row>
    <row r="953">
      <c r="A953">
        <f>IF(B953="","",VLOOKUP(B953,Lists!$A$2:$B$25,2,FALSE)&amp;"-"&amp;D953&amp;"-"&amp;TEXT(E953,"000"))</f>
        <v/>
      </c>
      <c r="E953">
        <f>IF(B953="","",COUNTIFS($B$2:B953,B953,$D$2:D953,D953))</f>
        <v/>
      </c>
    </row>
    <row r="954">
      <c r="A954">
        <f>IF(B954="","",VLOOKUP(B954,Lists!$A$2:$B$25,2,FALSE)&amp;"-"&amp;D954&amp;"-"&amp;TEXT(E954,"000"))</f>
        <v/>
      </c>
      <c r="E954">
        <f>IF(B954="","",COUNTIFS($B$2:B954,B954,$D$2:D954,D954))</f>
        <v/>
      </c>
    </row>
    <row r="955">
      <c r="A955">
        <f>IF(B955="","",VLOOKUP(B955,Lists!$A$2:$B$25,2,FALSE)&amp;"-"&amp;D955&amp;"-"&amp;TEXT(E955,"000"))</f>
        <v/>
      </c>
      <c r="E955">
        <f>IF(B955="","",COUNTIFS($B$2:B955,B955,$D$2:D955,D955))</f>
        <v/>
      </c>
    </row>
    <row r="956">
      <c r="A956">
        <f>IF(B956="","",VLOOKUP(B956,Lists!$A$2:$B$25,2,FALSE)&amp;"-"&amp;D956&amp;"-"&amp;TEXT(E956,"000"))</f>
        <v/>
      </c>
      <c r="E956">
        <f>IF(B956="","",COUNTIFS($B$2:B956,B956,$D$2:D956,D956))</f>
        <v/>
      </c>
    </row>
    <row r="957">
      <c r="A957">
        <f>IF(B957="","",VLOOKUP(B957,Lists!$A$2:$B$25,2,FALSE)&amp;"-"&amp;D957&amp;"-"&amp;TEXT(E957,"000"))</f>
        <v/>
      </c>
      <c r="E957">
        <f>IF(B957="","",COUNTIFS($B$2:B957,B957,$D$2:D957,D957))</f>
        <v/>
      </c>
    </row>
    <row r="958">
      <c r="A958">
        <f>IF(B958="","",VLOOKUP(B958,Lists!$A$2:$B$25,2,FALSE)&amp;"-"&amp;D958&amp;"-"&amp;TEXT(E958,"000"))</f>
        <v/>
      </c>
      <c r="E958">
        <f>IF(B958="","",COUNTIFS($B$2:B958,B958,$D$2:D958,D958))</f>
        <v/>
      </c>
    </row>
    <row r="959">
      <c r="A959">
        <f>IF(B959="","",VLOOKUP(B959,Lists!$A$2:$B$25,2,FALSE)&amp;"-"&amp;D959&amp;"-"&amp;TEXT(E959,"000"))</f>
        <v/>
      </c>
      <c r="E959">
        <f>IF(B959="","",COUNTIFS($B$2:B959,B959,$D$2:D959,D959))</f>
        <v/>
      </c>
    </row>
    <row r="960">
      <c r="A960">
        <f>IF(B960="","",VLOOKUP(B960,Lists!$A$2:$B$25,2,FALSE)&amp;"-"&amp;D960&amp;"-"&amp;TEXT(E960,"000"))</f>
        <v/>
      </c>
      <c r="E960">
        <f>IF(B960="","",COUNTIFS($B$2:B960,B960,$D$2:D960,D960))</f>
        <v/>
      </c>
    </row>
    <row r="961">
      <c r="A961">
        <f>IF(B961="","",VLOOKUP(B961,Lists!$A$2:$B$25,2,FALSE)&amp;"-"&amp;D961&amp;"-"&amp;TEXT(E961,"000"))</f>
        <v/>
      </c>
      <c r="E961">
        <f>IF(B961="","",COUNTIFS($B$2:B961,B961,$D$2:D961,D961))</f>
        <v/>
      </c>
    </row>
    <row r="962">
      <c r="A962">
        <f>IF(B962="","",VLOOKUP(B962,Lists!$A$2:$B$25,2,FALSE)&amp;"-"&amp;D962&amp;"-"&amp;TEXT(E962,"000"))</f>
        <v/>
      </c>
      <c r="E962">
        <f>IF(B962="","",COUNTIFS($B$2:B962,B962,$D$2:D962,D962))</f>
        <v/>
      </c>
    </row>
    <row r="963">
      <c r="A963">
        <f>IF(B963="","",VLOOKUP(B963,Lists!$A$2:$B$25,2,FALSE)&amp;"-"&amp;D963&amp;"-"&amp;TEXT(E963,"000"))</f>
        <v/>
      </c>
      <c r="E963">
        <f>IF(B963="","",COUNTIFS($B$2:B963,B963,$D$2:D963,D963))</f>
        <v/>
      </c>
    </row>
    <row r="964">
      <c r="A964">
        <f>IF(B964="","",VLOOKUP(B964,Lists!$A$2:$B$25,2,FALSE)&amp;"-"&amp;D964&amp;"-"&amp;TEXT(E964,"000"))</f>
        <v/>
      </c>
      <c r="E964">
        <f>IF(B964="","",COUNTIFS($B$2:B964,B964,$D$2:D964,D964))</f>
        <v/>
      </c>
    </row>
    <row r="965">
      <c r="A965">
        <f>IF(B965="","",VLOOKUP(B965,Lists!$A$2:$B$25,2,FALSE)&amp;"-"&amp;D965&amp;"-"&amp;TEXT(E965,"000"))</f>
        <v/>
      </c>
      <c r="E965">
        <f>IF(B965="","",COUNTIFS($B$2:B965,B965,$D$2:D965,D965))</f>
        <v/>
      </c>
    </row>
    <row r="966">
      <c r="A966">
        <f>IF(B966="","",VLOOKUP(B966,Lists!$A$2:$B$25,2,FALSE)&amp;"-"&amp;D966&amp;"-"&amp;TEXT(E966,"000"))</f>
        <v/>
      </c>
      <c r="E966">
        <f>IF(B966="","",COUNTIFS($B$2:B966,B966,$D$2:D966,D966))</f>
        <v/>
      </c>
    </row>
    <row r="967">
      <c r="A967">
        <f>IF(B967="","",VLOOKUP(B967,Lists!$A$2:$B$25,2,FALSE)&amp;"-"&amp;D967&amp;"-"&amp;TEXT(E967,"000"))</f>
        <v/>
      </c>
      <c r="E967">
        <f>IF(B967="","",COUNTIFS($B$2:B967,B967,$D$2:D967,D967))</f>
        <v/>
      </c>
    </row>
    <row r="968">
      <c r="A968">
        <f>IF(B968="","",VLOOKUP(B968,Lists!$A$2:$B$25,2,FALSE)&amp;"-"&amp;D968&amp;"-"&amp;TEXT(E968,"000"))</f>
        <v/>
      </c>
      <c r="E968">
        <f>IF(B968="","",COUNTIFS($B$2:B968,B968,$D$2:D968,D968))</f>
        <v/>
      </c>
    </row>
    <row r="969">
      <c r="A969">
        <f>IF(B969="","",VLOOKUP(B969,Lists!$A$2:$B$25,2,FALSE)&amp;"-"&amp;D969&amp;"-"&amp;TEXT(E969,"000"))</f>
        <v/>
      </c>
      <c r="E969">
        <f>IF(B969="","",COUNTIFS($B$2:B969,B969,$D$2:D969,D969))</f>
        <v/>
      </c>
    </row>
    <row r="970">
      <c r="A970">
        <f>IF(B970="","",VLOOKUP(B970,Lists!$A$2:$B$25,2,FALSE)&amp;"-"&amp;D970&amp;"-"&amp;TEXT(E970,"000"))</f>
        <v/>
      </c>
      <c r="E970">
        <f>IF(B970="","",COUNTIFS($B$2:B970,B970,$D$2:D970,D970))</f>
        <v/>
      </c>
    </row>
    <row r="971">
      <c r="A971">
        <f>IF(B971="","",VLOOKUP(B971,Lists!$A$2:$B$25,2,FALSE)&amp;"-"&amp;D971&amp;"-"&amp;TEXT(E971,"000"))</f>
        <v/>
      </c>
      <c r="E971">
        <f>IF(B971="","",COUNTIFS($B$2:B971,B971,$D$2:D971,D971))</f>
        <v/>
      </c>
    </row>
    <row r="972">
      <c r="A972">
        <f>IF(B972="","",VLOOKUP(B972,Lists!$A$2:$B$25,2,FALSE)&amp;"-"&amp;D972&amp;"-"&amp;TEXT(E972,"000"))</f>
        <v/>
      </c>
      <c r="E972">
        <f>IF(B972="","",COUNTIFS($B$2:B972,B972,$D$2:D972,D972))</f>
        <v/>
      </c>
    </row>
    <row r="973">
      <c r="A973">
        <f>IF(B973="","",VLOOKUP(B973,Lists!$A$2:$B$25,2,FALSE)&amp;"-"&amp;D973&amp;"-"&amp;TEXT(E973,"000"))</f>
        <v/>
      </c>
      <c r="E973">
        <f>IF(B973="","",COUNTIFS($B$2:B973,B973,$D$2:D973,D973))</f>
        <v/>
      </c>
    </row>
    <row r="974">
      <c r="A974">
        <f>IF(B974="","",VLOOKUP(B974,Lists!$A$2:$B$25,2,FALSE)&amp;"-"&amp;D974&amp;"-"&amp;TEXT(E974,"000"))</f>
        <v/>
      </c>
      <c r="E974">
        <f>IF(B974="","",COUNTIFS($B$2:B974,B974,$D$2:D974,D974))</f>
        <v/>
      </c>
    </row>
    <row r="975">
      <c r="A975">
        <f>IF(B975="","",VLOOKUP(B975,Lists!$A$2:$B$25,2,FALSE)&amp;"-"&amp;D975&amp;"-"&amp;TEXT(E975,"000"))</f>
        <v/>
      </c>
      <c r="E975">
        <f>IF(B975="","",COUNTIFS($B$2:B975,B975,$D$2:D975,D975))</f>
        <v/>
      </c>
    </row>
    <row r="976">
      <c r="A976">
        <f>IF(B976="","",VLOOKUP(B976,Lists!$A$2:$B$25,2,FALSE)&amp;"-"&amp;D976&amp;"-"&amp;TEXT(E976,"000"))</f>
        <v/>
      </c>
      <c r="E976">
        <f>IF(B976="","",COUNTIFS($B$2:B976,B976,$D$2:D976,D976))</f>
        <v/>
      </c>
    </row>
    <row r="977">
      <c r="A977">
        <f>IF(B977="","",VLOOKUP(B977,Lists!$A$2:$B$25,2,FALSE)&amp;"-"&amp;D977&amp;"-"&amp;TEXT(E977,"000"))</f>
        <v/>
      </c>
      <c r="E977">
        <f>IF(B977="","",COUNTIFS($B$2:B977,B977,$D$2:D977,D977))</f>
        <v/>
      </c>
    </row>
    <row r="978">
      <c r="A978">
        <f>IF(B978="","",VLOOKUP(B978,Lists!$A$2:$B$25,2,FALSE)&amp;"-"&amp;D978&amp;"-"&amp;TEXT(E978,"000"))</f>
        <v/>
      </c>
      <c r="E978">
        <f>IF(B978="","",COUNTIFS($B$2:B978,B978,$D$2:D978,D978))</f>
        <v/>
      </c>
    </row>
    <row r="979">
      <c r="A979">
        <f>IF(B979="","",VLOOKUP(B979,Lists!$A$2:$B$25,2,FALSE)&amp;"-"&amp;D979&amp;"-"&amp;TEXT(E979,"000"))</f>
        <v/>
      </c>
      <c r="E979">
        <f>IF(B979="","",COUNTIFS($B$2:B979,B979,$D$2:D979,D979))</f>
        <v/>
      </c>
    </row>
    <row r="980">
      <c r="A980">
        <f>IF(B980="","",VLOOKUP(B980,Lists!$A$2:$B$25,2,FALSE)&amp;"-"&amp;D980&amp;"-"&amp;TEXT(E980,"000"))</f>
        <v/>
      </c>
      <c r="E980">
        <f>IF(B980="","",COUNTIFS($B$2:B980,B980,$D$2:D980,D980))</f>
        <v/>
      </c>
    </row>
    <row r="981">
      <c r="A981">
        <f>IF(B981="","",VLOOKUP(B981,Lists!$A$2:$B$25,2,FALSE)&amp;"-"&amp;D981&amp;"-"&amp;TEXT(E981,"000"))</f>
        <v/>
      </c>
      <c r="E981">
        <f>IF(B981="","",COUNTIFS($B$2:B981,B981,$D$2:D981,D981))</f>
        <v/>
      </c>
    </row>
    <row r="982">
      <c r="A982">
        <f>IF(B982="","",VLOOKUP(B982,Lists!$A$2:$B$25,2,FALSE)&amp;"-"&amp;D982&amp;"-"&amp;TEXT(E982,"000"))</f>
        <v/>
      </c>
      <c r="E982">
        <f>IF(B982="","",COUNTIFS($B$2:B982,B982,$D$2:D982,D982))</f>
        <v/>
      </c>
    </row>
    <row r="983">
      <c r="A983">
        <f>IF(B983="","",VLOOKUP(B983,Lists!$A$2:$B$25,2,FALSE)&amp;"-"&amp;D983&amp;"-"&amp;TEXT(E983,"000"))</f>
        <v/>
      </c>
      <c r="E983">
        <f>IF(B983="","",COUNTIFS($B$2:B983,B983,$D$2:D983,D983))</f>
        <v/>
      </c>
    </row>
    <row r="984">
      <c r="A984">
        <f>IF(B984="","",VLOOKUP(B984,Lists!$A$2:$B$25,2,FALSE)&amp;"-"&amp;D984&amp;"-"&amp;TEXT(E984,"000"))</f>
        <v/>
      </c>
      <c r="E984">
        <f>IF(B984="","",COUNTIFS($B$2:B984,B984,$D$2:D984,D984))</f>
        <v/>
      </c>
    </row>
    <row r="985">
      <c r="A985">
        <f>IF(B985="","",VLOOKUP(B985,Lists!$A$2:$B$25,2,FALSE)&amp;"-"&amp;D985&amp;"-"&amp;TEXT(E985,"000"))</f>
        <v/>
      </c>
      <c r="E985">
        <f>IF(B985="","",COUNTIFS($B$2:B985,B985,$D$2:D985,D985))</f>
        <v/>
      </c>
    </row>
    <row r="986">
      <c r="A986">
        <f>IF(B986="","",VLOOKUP(B986,Lists!$A$2:$B$25,2,FALSE)&amp;"-"&amp;D986&amp;"-"&amp;TEXT(E986,"000"))</f>
        <v/>
      </c>
      <c r="E986">
        <f>IF(B986="","",COUNTIFS($B$2:B986,B986,$D$2:D986,D986))</f>
        <v/>
      </c>
    </row>
    <row r="987">
      <c r="A987">
        <f>IF(B987="","",VLOOKUP(B987,Lists!$A$2:$B$25,2,FALSE)&amp;"-"&amp;D987&amp;"-"&amp;TEXT(E987,"000"))</f>
        <v/>
      </c>
      <c r="E987">
        <f>IF(B987="","",COUNTIFS($B$2:B987,B987,$D$2:D987,D987))</f>
        <v/>
      </c>
    </row>
    <row r="988">
      <c r="A988">
        <f>IF(B988="","",VLOOKUP(B988,Lists!$A$2:$B$25,2,FALSE)&amp;"-"&amp;D988&amp;"-"&amp;TEXT(E988,"000"))</f>
        <v/>
      </c>
      <c r="E988">
        <f>IF(B988="","",COUNTIFS($B$2:B988,B988,$D$2:D988,D988))</f>
        <v/>
      </c>
    </row>
    <row r="989">
      <c r="A989">
        <f>IF(B989="","",VLOOKUP(B989,Lists!$A$2:$B$25,2,FALSE)&amp;"-"&amp;D989&amp;"-"&amp;TEXT(E989,"000"))</f>
        <v/>
      </c>
      <c r="E989">
        <f>IF(B989="","",COUNTIFS($B$2:B989,B989,$D$2:D989,D989))</f>
        <v/>
      </c>
    </row>
    <row r="990">
      <c r="A990">
        <f>IF(B990="","",VLOOKUP(B990,Lists!$A$2:$B$25,2,FALSE)&amp;"-"&amp;D990&amp;"-"&amp;TEXT(E990,"000"))</f>
        <v/>
      </c>
      <c r="E990">
        <f>IF(B990="","",COUNTIFS($B$2:B990,B990,$D$2:D990,D990))</f>
        <v/>
      </c>
    </row>
    <row r="991">
      <c r="A991">
        <f>IF(B991="","",VLOOKUP(B991,Lists!$A$2:$B$25,2,FALSE)&amp;"-"&amp;D991&amp;"-"&amp;TEXT(E991,"000"))</f>
        <v/>
      </c>
      <c r="E991">
        <f>IF(B991="","",COUNTIFS($B$2:B991,B991,$D$2:D991,D991))</f>
        <v/>
      </c>
    </row>
    <row r="992">
      <c r="A992">
        <f>IF(B992="","",VLOOKUP(B992,Lists!$A$2:$B$25,2,FALSE)&amp;"-"&amp;D992&amp;"-"&amp;TEXT(E992,"000"))</f>
        <v/>
      </c>
      <c r="E992">
        <f>IF(B992="","",COUNTIFS($B$2:B992,B992,$D$2:D992,D992))</f>
        <v/>
      </c>
    </row>
    <row r="993">
      <c r="A993">
        <f>IF(B993="","",VLOOKUP(B993,Lists!$A$2:$B$25,2,FALSE)&amp;"-"&amp;D993&amp;"-"&amp;TEXT(E993,"000"))</f>
        <v/>
      </c>
      <c r="E993">
        <f>IF(B993="","",COUNTIFS($B$2:B993,B993,$D$2:D993,D993))</f>
        <v/>
      </c>
    </row>
    <row r="994">
      <c r="A994">
        <f>IF(B994="","",VLOOKUP(B994,Lists!$A$2:$B$25,2,FALSE)&amp;"-"&amp;D994&amp;"-"&amp;TEXT(E994,"000"))</f>
        <v/>
      </c>
      <c r="E994">
        <f>IF(B994="","",COUNTIFS($B$2:B994,B994,$D$2:D994,D994))</f>
        <v/>
      </c>
    </row>
    <row r="995">
      <c r="A995">
        <f>IF(B995="","",VLOOKUP(B995,Lists!$A$2:$B$25,2,FALSE)&amp;"-"&amp;D995&amp;"-"&amp;TEXT(E995,"000"))</f>
        <v/>
      </c>
      <c r="E995">
        <f>IF(B995="","",COUNTIFS($B$2:B995,B995,$D$2:D995,D995))</f>
        <v/>
      </c>
    </row>
    <row r="996">
      <c r="A996">
        <f>IF(B996="","",VLOOKUP(B996,Lists!$A$2:$B$25,2,FALSE)&amp;"-"&amp;D996&amp;"-"&amp;TEXT(E996,"000"))</f>
        <v/>
      </c>
      <c r="E996">
        <f>IF(B996="","",COUNTIFS($B$2:B996,B996,$D$2:D996,D996))</f>
        <v/>
      </c>
    </row>
    <row r="997">
      <c r="A997">
        <f>IF(B997="","",VLOOKUP(B997,Lists!$A$2:$B$25,2,FALSE)&amp;"-"&amp;D997&amp;"-"&amp;TEXT(E997,"000"))</f>
        <v/>
      </c>
      <c r="E997">
        <f>IF(B997="","",COUNTIFS($B$2:B997,B997,$D$2:D997,D997))</f>
        <v/>
      </c>
    </row>
    <row r="998">
      <c r="A998">
        <f>IF(B998="","",VLOOKUP(B998,Lists!$A$2:$B$25,2,FALSE)&amp;"-"&amp;D998&amp;"-"&amp;TEXT(E998,"000"))</f>
        <v/>
      </c>
      <c r="E998">
        <f>IF(B998="","",COUNTIFS($B$2:B998,B998,$D$2:D998,D998))</f>
        <v/>
      </c>
    </row>
    <row r="999">
      <c r="A999">
        <f>IF(B999="","",VLOOKUP(B999,Lists!$A$2:$B$25,2,FALSE)&amp;"-"&amp;D999&amp;"-"&amp;TEXT(E999,"000"))</f>
        <v/>
      </c>
      <c r="E999">
        <f>IF(B999="","",COUNTIFS($B$2:B999,B999,$D$2:D999,D999))</f>
        <v/>
      </c>
    </row>
    <row r="1000">
      <c r="A1000">
        <f>IF(B1000="","",VLOOKUP(B1000,Lists!$A$2:$B$25,2,FALSE)&amp;"-"&amp;D1000&amp;"-"&amp;TEXT(E1000,"000"))</f>
        <v/>
      </c>
      <c r="E1000">
        <f>IF(B1000="","",COUNTIFS($B$2:B1000,B1000,$D$2:D1000,D1000))</f>
        <v/>
      </c>
    </row>
    <row r="1001">
      <c r="A1001">
        <f>IF(B1001="","",VLOOKUP(B1001,Lists!$A$2:$B$25,2,FALSE)&amp;"-"&amp;D1001&amp;"-"&amp;TEXT(E1001,"000"))</f>
        <v/>
      </c>
      <c r="E1001">
        <f>IF(B1001="","",COUNTIFS($B$2:B1001,B1001,$D$2:D1001,D1001))</f>
        <v/>
      </c>
    </row>
    <row r="1002">
      <c r="A1002">
        <f>IF(B1002="","",VLOOKUP(B1002,Lists!$A$2:$B$25,2,FALSE)&amp;"-"&amp;D1002&amp;"-"&amp;TEXT(E1002,"000"))</f>
        <v/>
      </c>
      <c r="E1002">
        <f>IF(B1002="","",COUNTIFS($B$2:B1002,B1002,$D$2:D1002,D1002))</f>
        <v/>
      </c>
    </row>
    <row r="1003">
      <c r="A1003">
        <f>IF(B1003="","",VLOOKUP(B1003,Lists!$A$2:$B$25,2,FALSE)&amp;"-"&amp;D1003&amp;"-"&amp;TEXT(E1003,"000"))</f>
        <v/>
      </c>
      <c r="E1003">
        <f>IF(B1003="","",COUNTIFS($B$2:B1003,B1003,$D$2:D1003,D1003))</f>
        <v/>
      </c>
    </row>
    <row r="1004">
      <c r="A1004">
        <f>IF(B1004="","",VLOOKUP(B1004,Lists!$A$2:$B$25,2,FALSE)&amp;"-"&amp;D1004&amp;"-"&amp;TEXT(E1004,"000"))</f>
        <v/>
      </c>
      <c r="E1004">
        <f>IF(B1004="","",COUNTIFS($B$2:B1004,B1004,$D$2:D1004,D1004))</f>
        <v/>
      </c>
    </row>
    <row r="1005">
      <c r="A1005">
        <f>IF(B1005="","",VLOOKUP(B1005,Lists!$A$2:$B$25,2,FALSE)&amp;"-"&amp;D1005&amp;"-"&amp;TEXT(E1005,"000"))</f>
        <v/>
      </c>
      <c r="E1005">
        <f>IF(B1005="","",COUNTIFS($B$2:B1005,B1005,$D$2:D1005,D1005))</f>
        <v/>
      </c>
    </row>
    <row r="1006">
      <c r="A1006">
        <f>IF(B1006="","",VLOOKUP(B1006,Lists!$A$2:$B$25,2,FALSE)&amp;"-"&amp;D1006&amp;"-"&amp;TEXT(E1006,"000"))</f>
        <v/>
      </c>
      <c r="E1006">
        <f>IF(B1006="","",COUNTIFS($B$2:B1006,B1006,$D$2:D1006,D1006))</f>
        <v/>
      </c>
    </row>
    <row r="1007">
      <c r="A1007">
        <f>IF(B1007="","",VLOOKUP(B1007,Lists!$A$2:$B$25,2,FALSE)&amp;"-"&amp;D1007&amp;"-"&amp;TEXT(E1007,"000"))</f>
        <v/>
      </c>
      <c r="E1007">
        <f>IF(B1007="","",COUNTIFS($B$2:B1007,B1007,$D$2:D1007,D1007))</f>
        <v/>
      </c>
    </row>
    <row r="1008">
      <c r="A1008">
        <f>IF(B1008="","",VLOOKUP(B1008,Lists!$A$2:$B$25,2,FALSE)&amp;"-"&amp;D1008&amp;"-"&amp;TEXT(E1008,"000"))</f>
        <v/>
      </c>
      <c r="E1008">
        <f>IF(B1008="","",COUNTIFS($B$2:B1008,B1008,$D$2:D1008,D1008))</f>
        <v/>
      </c>
    </row>
    <row r="1009">
      <c r="A1009">
        <f>IF(B1009="","",VLOOKUP(B1009,Lists!$A$2:$B$25,2,FALSE)&amp;"-"&amp;D1009&amp;"-"&amp;TEXT(E1009,"000"))</f>
        <v/>
      </c>
      <c r="E1009">
        <f>IF(B1009="","",COUNTIFS($B$2:B1009,B1009,$D$2:D1009,D1009))</f>
        <v/>
      </c>
    </row>
    <row r="1010">
      <c r="A1010">
        <f>IF(B1010="","",VLOOKUP(B1010,Lists!$A$2:$B$25,2,FALSE)&amp;"-"&amp;D1010&amp;"-"&amp;TEXT(E1010,"000"))</f>
        <v/>
      </c>
      <c r="E1010">
        <f>IF(B1010="","",COUNTIFS($B$2:B1010,B1010,$D$2:D1010,D1010))</f>
        <v/>
      </c>
    </row>
    <row r="1011">
      <c r="A1011">
        <f>IF(B1011="","",VLOOKUP(B1011,Lists!$A$2:$B$25,2,FALSE)&amp;"-"&amp;D1011&amp;"-"&amp;TEXT(E1011,"000"))</f>
        <v/>
      </c>
      <c r="E1011">
        <f>IF(B1011="","",COUNTIFS($B$2:B1011,B1011,$D$2:D1011,D1011))</f>
        <v/>
      </c>
    </row>
    <row r="1012">
      <c r="A1012">
        <f>IF(B1012="","",VLOOKUP(B1012,Lists!$A$2:$B$25,2,FALSE)&amp;"-"&amp;D1012&amp;"-"&amp;TEXT(E1012,"000"))</f>
        <v/>
      </c>
      <c r="E1012">
        <f>IF(B1012="","",COUNTIFS($B$2:B1012,B1012,$D$2:D1012,D1012))</f>
        <v/>
      </c>
    </row>
    <row r="1013">
      <c r="A1013">
        <f>IF(B1013="","",VLOOKUP(B1013,Lists!$A$2:$B$25,2,FALSE)&amp;"-"&amp;D1013&amp;"-"&amp;TEXT(E1013,"000"))</f>
        <v/>
      </c>
      <c r="E1013">
        <f>IF(B1013="","",COUNTIFS($B$2:B1013,B1013,$D$2:D1013,D1013))</f>
        <v/>
      </c>
    </row>
    <row r="1014">
      <c r="A1014">
        <f>IF(B1014="","",VLOOKUP(B1014,Lists!$A$2:$B$25,2,FALSE)&amp;"-"&amp;D1014&amp;"-"&amp;TEXT(E1014,"000"))</f>
        <v/>
      </c>
      <c r="E1014">
        <f>IF(B1014="","",COUNTIFS($B$2:B1014,B1014,$D$2:D1014,D1014))</f>
        <v/>
      </c>
    </row>
    <row r="1015">
      <c r="A1015">
        <f>IF(B1015="","",VLOOKUP(B1015,Lists!$A$2:$B$25,2,FALSE)&amp;"-"&amp;D1015&amp;"-"&amp;TEXT(E1015,"000"))</f>
        <v/>
      </c>
      <c r="E1015">
        <f>IF(B1015="","",COUNTIFS($B$2:B1015,B1015,$D$2:D1015,D1015))</f>
        <v/>
      </c>
    </row>
    <row r="1016">
      <c r="A1016">
        <f>IF(B1016="","",VLOOKUP(B1016,Lists!$A$2:$B$25,2,FALSE)&amp;"-"&amp;D1016&amp;"-"&amp;TEXT(E1016,"000"))</f>
        <v/>
      </c>
      <c r="E1016">
        <f>IF(B1016="","",COUNTIFS($B$2:B1016,B1016,$D$2:D1016,D1016))</f>
        <v/>
      </c>
    </row>
    <row r="1017">
      <c r="A1017">
        <f>IF(B1017="","",VLOOKUP(B1017,Lists!$A$2:$B$25,2,FALSE)&amp;"-"&amp;D1017&amp;"-"&amp;TEXT(E1017,"000"))</f>
        <v/>
      </c>
      <c r="E1017">
        <f>IF(B1017="","",COUNTIFS($B$2:B1017,B1017,$D$2:D1017,D1017))</f>
        <v/>
      </c>
    </row>
    <row r="1018">
      <c r="A1018">
        <f>IF(B1018="","",VLOOKUP(B1018,Lists!$A$2:$B$25,2,FALSE)&amp;"-"&amp;D1018&amp;"-"&amp;TEXT(E1018,"000"))</f>
        <v/>
      </c>
      <c r="E1018">
        <f>IF(B1018="","",COUNTIFS($B$2:B1018,B1018,$D$2:D1018,D1018))</f>
        <v/>
      </c>
    </row>
    <row r="1019">
      <c r="A1019">
        <f>IF(B1019="","",VLOOKUP(B1019,Lists!$A$2:$B$25,2,FALSE)&amp;"-"&amp;D1019&amp;"-"&amp;TEXT(E1019,"000"))</f>
        <v/>
      </c>
      <c r="E1019">
        <f>IF(B1019="","",COUNTIFS($B$2:B1019,B1019,$D$2:D1019,D1019))</f>
        <v/>
      </c>
    </row>
    <row r="1020">
      <c r="A1020">
        <f>IF(B1020="","",VLOOKUP(B1020,Lists!$A$2:$B$25,2,FALSE)&amp;"-"&amp;D1020&amp;"-"&amp;TEXT(E1020,"000"))</f>
        <v/>
      </c>
      <c r="E1020">
        <f>IF(B1020="","",COUNTIFS($B$2:B1020,B1020,$D$2:D1020,D1020))</f>
        <v/>
      </c>
    </row>
    <row r="1021">
      <c r="A1021">
        <f>IF(B1021="","",VLOOKUP(B1021,Lists!$A$2:$B$25,2,FALSE)&amp;"-"&amp;D1021&amp;"-"&amp;TEXT(E1021,"000"))</f>
        <v/>
      </c>
      <c r="E1021">
        <f>IF(B1021="","",COUNTIFS($B$2:B1021,B1021,$D$2:D1021,D1021))</f>
        <v/>
      </c>
    </row>
    <row r="1022">
      <c r="A1022">
        <f>IF(B1022="","",VLOOKUP(B1022,Lists!$A$2:$B$25,2,FALSE)&amp;"-"&amp;D1022&amp;"-"&amp;TEXT(E1022,"000"))</f>
        <v/>
      </c>
      <c r="E1022">
        <f>IF(B1022="","",COUNTIFS($B$2:B1022,B1022,$D$2:D1022,D1022))</f>
        <v/>
      </c>
    </row>
    <row r="1023">
      <c r="A1023">
        <f>IF(B1023="","",VLOOKUP(B1023,Lists!$A$2:$B$25,2,FALSE)&amp;"-"&amp;D1023&amp;"-"&amp;TEXT(E1023,"000"))</f>
        <v/>
      </c>
      <c r="E1023">
        <f>IF(B1023="","",COUNTIFS($B$2:B1023,B1023,$D$2:D1023,D1023))</f>
        <v/>
      </c>
    </row>
    <row r="1024">
      <c r="A1024">
        <f>IF(B1024="","",VLOOKUP(B1024,Lists!$A$2:$B$25,2,FALSE)&amp;"-"&amp;D1024&amp;"-"&amp;TEXT(E1024,"000"))</f>
        <v/>
      </c>
      <c r="E1024">
        <f>IF(B1024="","",COUNTIFS($B$2:B1024,B1024,$D$2:D1024,D1024))</f>
        <v/>
      </c>
    </row>
    <row r="1025">
      <c r="A1025">
        <f>IF(B1025="","",VLOOKUP(B1025,Lists!$A$2:$B$25,2,FALSE)&amp;"-"&amp;D1025&amp;"-"&amp;TEXT(E1025,"000"))</f>
        <v/>
      </c>
      <c r="E1025">
        <f>IF(B1025="","",COUNTIFS($B$2:B1025,B1025,$D$2:D1025,D1025))</f>
        <v/>
      </c>
    </row>
    <row r="1026">
      <c r="A1026">
        <f>IF(B1026="","",VLOOKUP(B1026,Lists!$A$2:$B$25,2,FALSE)&amp;"-"&amp;D1026&amp;"-"&amp;TEXT(E1026,"000"))</f>
        <v/>
      </c>
      <c r="E1026">
        <f>IF(B1026="","",COUNTIFS($B$2:B1026,B1026,$D$2:D1026,D1026))</f>
        <v/>
      </c>
    </row>
    <row r="1027">
      <c r="A1027">
        <f>IF(B1027="","",VLOOKUP(B1027,Lists!$A$2:$B$25,2,FALSE)&amp;"-"&amp;D1027&amp;"-"&amp;TEXT(E1027,"000"))</f>
        <v/>
      </c>
      <c r="E1027">
        <f>IF(B1027="","",COUNTIFS($B$2:B1027,B1027,$D$2:D1027,D1027))</f>
        <v/>
      </c>
    </row>
    <row r="1028">
      <c r="A1028">
        <f>IF(B1028="","",VLOOKUP(B1028,Lists!$A$2:$B$25,2,FALSE)&amp;"-"&amp;D1028&amp;"-"&amp;TEXT(E1028,"000"))</f>
        <v/>
      </c>
      <c r="E1028">
        <f>IF(B1028="","",COUNTIFS($B$2:B1028,B1028,$D$2:D1028,D1028))</f>
        <v/>
      </c>
    </row>
    <row r="1029">
      <c r="A1029">
        <f>IF(B1029="","",VLOOKUP(B1029,Lists!$A$2:$B$25,2,FALSE)&amp;"-"&amp;D1029&amp;"-"&amp;TEXT(E1029,"000"))</f>
        <v/>
      </c>
      <c r="E1029">
        <f>IF(B1029="","",COUNTIFS($B$2:B1029,B1029,$D$2:D1029,D1029))</f>
        <v/>
      </c>
    </row>
    <row r="1030">
      <c r="A1030">
        <f>IF(B1030="","",VLOOKUP(B1030,Lists!$A$2:$B$25,2,FALSE)&amp;"-"&amp;D1030&amp;"-"&amp;TEXT(E1030,"000"))</f>
        <v/>
      </c>
      <c r="E1030">
        <f>IF(B1030="","",COUNTIFS($B$2:B1030,B1030,$D$2:D1030,D1030))</f>
        <v/>
      </c>
    </row>
    <row r="1031">
      <c r="A1031">
        <f>IF(B1031="","",VLOOKUP(B1031,Lists!$A$2:$B$25,2,FALSE)&amp;"-"&amp;D1031&amp;"-"&amp;TEXT(E1031,"000"))</f>
        <v/>
      </c>
      <c r="E1031">
        <f>IF(B1031="","",COUNTIFS($B$2:B1031,B1031,$D$2:D1031,D1031))</f>
        <v/>
      </c>
    </row>
    <row r="1032">
      <c r="A1032">
        <f>IF(B1032="","",VLOOKUP(B1032,Lists!$A$2:$B$25,2,FALSE)&amp;"-"&amp;D1032&amp;"-"&amp;TEXT(E1032,"000"))</f>
        <v/>
      </c>
      <c r="E1032">
        <f>IF(B1032="","",COUNTIFS($B$2:B1032,B1032,$D$2:D1032,D1032))</f>
        <v/>
      </c>
    </row>
    <row r="1033">
      <c r="A1033">
        <f>IF(B1033="","",VLOOKUP(B1033,Lists!$A$2:$B$25,2,FALSE)&amp;"-"&amp;D1033&amp;"-"&amp;TEXT(E1033,"000"))</f>
        <v/>
      </c>
      <c r="E1033">
        <f>IF(B1033="","",COUNTIFS($B$2:B1033,B1033,$D$2:D1033,D1033))</f>
        <v/>
      </c>
    </row>
    <row r="1034">
      <c r="A1034">
        <f>IF(B1034="","",VLOOKUP(B1034,Lists!$A$2:$B$25,2,FALSE)&amp;"-"&amp;D1034&amp;"-"&amp;TEXT(E1034,"000"))</f>
        <v/>
      </c>
      <c r="E1034">
        <f>IF(B1034="","",COUNTIFS($B$2:B1034,B1034,$D$2:D1034,D1034))</f>
        <v/>
      </c>
    </row>
    <row r="1035">
      <c r="A1035">
        <f>IF(B1035="","",VLOOKUP(B1035,Lists!$A$2:$B$25,2,FALSE)&amp;"-"&amp;D1035&amp;"-"&amp;TEXT(E1035,"000"))</f>
        <v/>
      </c>
      <c r="E1035">
        <f>IF(B1035="","",COUNTIFS($B$2:B1035,B1035,$D$2:D1035,D1035))</f>
        <v/>
      </c>
    </row>
    <row r="1036">
      <c r="A1036">
        <f>IF(B1036="","",VLOOKUP(B1036,Lists!$A$2:$B$25,2,FALSE)&amp;"-"&amp;D1036&amp;"-"&amp;TEXT(E1036,"000"))</f>
        <v/>
      </c>
      <c r="E1036">
        <f>IF(B1036="","",COUNTIFS($B$2:B1036,B1036,$D$2:D1036,D1036))</f>
        <v/>
      </c>
    </row>
    <row r="1037">
      <c r="A1037">
        <f>IF(B1037="","",VLOOKUP(B1037,Lists!$A$2:$B$25,2,FALSE)&amp;"-"&amp;D1037&amp;"-"&amp;TEXT(E1037,"000"))</f>
        <v/>
      </c>
      <c r="E1037">
        <f>IF(B1037="","",COUNTIFS($B$2:B1037,B1037,$D$2:D1037,D1037))</f>
        <v/>
      </c>
    </row>
    <row r="1038">
      <c r="A1038">
        <f>IF(B1038="","",VLOOKUP(B1038,Lists!$A$2:$B$25,2,FALSE)&amp;"-"&amp;D1038&amp;"-"&amp;TEXT(E1038,"000"))</f>
        <v/>
      </c>
      <c r="E1038">
        <f>IF(B1038="","",COUNTIFS($B$2:B1038,B1038,$D$2:D1038,D1038))</f>
        <v/>
      </c>
    </row>
    <row r="1039">
      <c r="A1039">
        <f>IF(B1039="","",VLOOKUP(B1039,Lists!$A$2:$B$25,2,FALSE)&amp;"-"&amp;D1039&amp;"-"&amp;TEXT(E1039,"000"))</f>
        <v/>
      </c>
      <c r="E1039">
        <f>IF(B1039="","",COUNTIFS($B$2:B1039,B1039,$D$2:D1039,D1039))</f>
        <v/>
      </c>
    </row>
    <row r="1040">
      <c r="A1040">
        <f>IF(B1040="","",VLOOKUP(B1040,Lists!$A$2:$B$25,2,FALSE)&amp;"-"&amp;D1040&amp;"-"&amp;TEXT(E1040,"000"))</f>
        <v/>
      </c>
      <c r="E1040">
        <f>IF(B1040="","",COUNTIFS($B$2:B1040,B1040,$D$2:D1040,D1040))</f>
        <v/>
      </c>
    </row>
    <row r="1041">
      <c r="A1041">
        <f>IF(B1041="","",VLOOKUP(B1041,Lists!$A$2:$B$25,2,FALSE)&amp;"-"&amp;D1041&amp;"-"&amp;TEXT(E1041,"000"))</f>
        <v/>
      </c>
      <c r="E1041">
        <f>IF(B1041="","",COUNTIFS($B$2:B1041,B1041,$D$2:D1041,D1041))</f>
        <v/>
      </c>
    </row>
    <row r="1042">
      <c r="A1042">
        <f>IF(B1042="","",VLOOKUP(B1042,Lists!$A$2:$B$25,2,FALSE)&amp;"-"&amp;D1042&amp;"-"&amp;TEXT(E1042,"000"))</f>
        <v/>
      </c>
      <c r="E1042">
        <f>IF(B1042="","",COUNTIFS($B$2:B1042,B1042,$D$2:D1042,D1042))</f>
        <v/>
      </c>
    </row>
    <row r="1043">
      <c r="A1043">
        <f>IF(B1043="","",VLOOKUP(B1043,Lists!$A$2:$B$25,2,FALSE)&amp;"-"&amp;D1043&amp;"-"&amp;TEXT(E1043,"000"))</f>
        <v/>
      </c>
      <c r="E1043">
        <f>IF(B1043="","",COUNTIFS($B$2:B1043,B1043,$D$2:D1043,D1043))</f>
        <v/>
      </c>
    </row>
    <row r="1044">
      <c r="A1044">
        <f>IF(B1044="","",VLOOKUP(B1044,Lists!$A$2:$B$25,2,FALSE)&amp;"-"&amp;D1044&amp;"-"&amp;TEXT(E1044,"000"))</f>
        <v/>
      </c>
      <c r="E1044">
        <f>IF(B1044="","",COUNTIFS($B$2:B1044,B1044,$D$2:D1044,D1044))</f>
        <v/>
      </c>
    </row>
    <row r="1045">
      <c r="A1045">
        <f>IF(B1045="","",VLOOKUP(B1045,Lists!$A$2:$B$25,2,FALSE)&amp;"-"&amp;D1045&amp;"-"&amp;TEXT(E1045,"000"))</f>
        <v/>
      </c>
      <c r="E1045">
        <f>IF(B1045="","",COUNTIFS($B$2:B1045,B1045,$D$2:D1045,D1045))</f>
        <v/>
      </c>
    </row>
    <row r="1046">
      <c r="A1046">
        <f>IF(B1046="","",VLOOKUP(B1046,Lists!$A$2:$B$25,2,FALSE)&amp;"-"&amp;D1046&amp;"-"&amp;TEXT(E1046,"000"))</f>
        <v/>
      </c>
      <c r="E1046">
        <f>IF(B1046="","",COUNTIFS($B$2:B1046,B1046,$D$2:D1046,D1046))</f>
        <v/>
      </c>
    </row>
    <row r="1047">
      <c r="A1047">
        <f>IF(B1047="","",VLOOKUP(B1047,Lists!$A$2:$B$25,2,FALSE)&amp;"-"&amp;D1047&amp;"-"&amp;TEXT(E1047,"000"))</f>
        <v/>
      </c>
      <c r="E1047">
        <f>IF(B1047="","",COUNTIFS($B$2:B1047,B1047,$D$2:D1047,D1047))</f>
        <v/>
      </c>
    </row>
    <row r="1048">
      <c r="A1048">
        <f>IF(B1048="","",VLOOKUP(B1048,Lists!$A$2:$B$25,2,FALSE)&amp;"-"&amp;D1048&amp;"-"&amp;TEXT(E1048,"000"))</f>
        <v/>
      </c>
      <c r="E1048">
        <f>IF(B1048="","",COUNTIFS($B$2:B1048,B1048,$D$2:D1048,D1048))</f>
        <v/>
      </c>
    </row>
    <row r="1049">
      <c r="A1049">
        <f>IF(B1049="","",VLOOKUP(B1049,Lists!$A$2:$B$25,2,FALSE)&amp;"-"&amp;D1049&amp;"-"&amp;TEXT(E1049,"000"))</f>
        <v/>
      </c>
      <c r="E1049">
        <f>IF(B1049="","",COUNTIFS($B$2:B1049,B1049,$D$2:D1049,D1049))</f>
        <v/>
      </c>
    </row>
    <row r="1050">
      <c r="A1050">
        <f>IF(B1050="","",VLOOKUP(B1050,Lists!$A$2:$B$25,2,FALSE)&amp;"-"&amp;D1050&amp;"-"&amp;TEXT(E1050,"000"))</f>
        <v/>
      </c>
      <c r="E1050">
        <f>IF(B1050="","",COUNTIFS($B$2:B1050,B1050,$D$2:D1050,D1050))</f>
        <v/>
      </c>
    </row>
    <row r="1051">
      <c r="A1051">
        <f>IF(B1051="","",VLOOKUP(B1051,Lists!$A$2:$B$25,2,FALSE)&amp;"-"&amp;D1051&amp;"-"&amp;TEXT(E1051,"000"))</f>
        <v/>
      </c>
      <c r="E1051">
        <f>IF(B1051="","",COUNTIFS($B$2:B1051,B1051,$D$2:D1051,D1051))</f>
        <v/>
      </c>
    </row>
    <row r="1052">
      <c r="A1052">
        <f>IF(B1052="","",VLOOKUP(B1052,Lists!$A$2:$B$25,2,FALSE)&amp;"-"&amp;D1052&amp;"-"&amp;TEXT(E1052,"000"))</f>
        <v/>
      </c>
      <c r="E1052">
        <f>IF(B1052="","",COUNTIFS($B$2:B1052,B1052,$D$2:D1052,D1052))</f>
        <v/>
      </c>
    </row>
    <row r="1053">
      <c r="A1053">
        <f>IF(B1053="","",VLOOKUP(B1053,Lists!$A$2:$B$25,2,FALSE)&amp;"-"&amp;D1053&amp;"-"&amp;TEXT(E1053,"000"))</f>
        <v/>
      </c>
      <c r="E1053">
        <f>IF(B1053="","",COUNTIFS($B$2:B1053,B1053,$D$2:D1053,D1053))</f>
        <v/>
      </c>
    </row>
    <row r="1054">
      <c r="A1054">
        <f>IF(B1054="","",VLOOKUP(B1054,Lists!$A$2:$B$25,2,FALSE)&amp;"-"&amp;D1054&amp;"-"&amp;TEXT(E1054,"000"))</f>
        <v/>
      </c>
      <c r="E1054">
        <f>IF(B1054="","",COUNTIFS($B$2:B1054,B1054,$D$2:D1054,D1054))</f>
        <v/>
      </c>
    </row>
    <row r="1055">
      <c r="A1055">
        <f>IF(B1055="","",VLOOKUP(B1055,Lists!$A$2:$B$25,2,FALSE)&amp;"-"&amp;D1055&amp;"-"&amp;TEXT(E1055,"000"))</f>
        <v/>
      </c>
      <c r="E1055">
        <f>IF(B1055="","",COUNTIFS($B$2:B1055,B1055,$D$2:D1055,D1055))</f>
        <v/>
      </c>
    </row>
    <row r="1056">
      <c r="A1056">
        <f>IF(B1056="","",VLOOKUP(B1056,Lists!$A$2:$B$25,2,FALSE)&amp;"-"&amp;D1056&amp;"-"&amp;TEXT(E1056,"000"))</f>
        <v/>
      </c>
      <c r="E1056">
        <f>IF(B1056="","",COUNTIFS($B$2:B1056,B1056,$D$2:D1056,D1056))</f>
        <v/>
      </c>
    </row>
    <row r="1057">
      <c r="A1057">
        <f>IF(B1057="","",VLOOKUP(B1057,Lists!$A$2:$B$25,2,FALSE)&amp;"-"&amp;D1057&amp;"-"&amp;TEXT(E1057,"000"))</f>
        <v/>
      </c>
      <c r="E1057">
        <f>IF(B1057="","",COUNTIFS($B$2:B1057,B1057,$D$2:D1057,D1057))</f>
        <v/>
      </c>
    </row>
    <row r="1058">
      <c r="A1058">
        <f>IF(B1058="","",VLOOKUP(B1058,Lists!$A$2:$B$25,2,FALSE)&amp;"-"&amp;D1058&amp;"-"&amp;TEXT(E1058,"000"))</f>
        <v/>
      </c>
      <c r="E1058">
        <f>IF(B1058="","",COUNTIFS($B$2:B1058,B1058,$D$2:D1058,D1058))</f>
        <v/>
      </c>
    </row>
    <row r="1059">
      <c r="A1059">
        <f>IF(B1059="","",VLOOKUP(B1059,Lists!$A$2:$B$25,2,FALSE)&amp;"-"&amp;D1059&amp;"-"&amp;TEXT(E1059,"000"))</f>
        <v/>
      </c>
      <c r="E1059">
        <f>IF(B1059="","",COUNTIFS($B$2:B1059,B1059,$D$2:D1059,D1059))</f>
        <v/>
      </c>
    </row>
    <row r="1060">
      <c r="A1060">
        <f>IF(B1060="","",VLOOKUP(B1060,Lists!$A$2:$B$25,2,FALSE)&amp;"-"&amp;D1060&amp;"-"&amp;TEXT(E1060,"000"))</f>
        <v/>
      </c>
      <c r="E1060">
        <f>IF(B1060="","",COUNTIFS($B$2:B1060,B1060,$D$2:D1060,D1060))</f>
        <v/>
      </c>
    </row>
    <row r="1061">
      <c r="A1061">
        <f>IF(B1061="","",VLOOKUP(B1061,Lists!$A$2:$B$25,2,FALSE)&amp;"-"&amp;D1061&amp;"-"&amp;TEXT(E1061,"000"))</f>
        <v/>
      </c>
      <c r="E1061">
        <f>IF(B1061="","",COUNTIFS($B$2:B1061,B1061,$D$2:D1061,D1061))</f>
        <v/>
      </c>
    </row>
    <row r="1062">
      <c r="A1062">
        <f>IF(B1062="","",VLOOKUP(B1062,Lists!$A$2:$B$25,2,FALSE)&amp;"-"&amp;D1062&amp;"-"&amp;TEXT(E1062,"000"))</f>
        <v/>
      </c>
      <c r="E1062">
        <f>IF(B1062="","",COUNTIFS($B$2:B1062,B1062,$D$2:D1062,D1062))</f>
        <v/>
      </c>
    </row>
    <row r="1063">
      <c r="A1063">
        <f>IF(B1063="","",VLOOKUP(B1063,Lists!$A$2:$B$25,2,FALSE)&amp;"-"&amp;D1063&amp;"-"&amp;TEXT(E1063,"000"))</f>
        <v/>
      </c>
      <c r="E1063">
        <f>IF(B1063="","",COUNTIFS($B$2:B1063,B1063,$D$2:D1063,D1063))</f>
        <v/>
      </c>
    </row>
    <row r="1064">
      <c r="A1064">
        <f>IF(B1064="","",VLOOKUP(B1064,Lists!$A$2:$B$25,2,FALSE)&amp;"-"&amp;D1064&amp;"-"&amp;TEXT(E1064,"000"))</f>
        <v/>
      </c>
      <c r="E1064">
        <f>IF(B1064="","",COUNTIFS($B$2:B1064,B1064,$D$2:D1064,D1064))</f>
        <v/>
      </c>
    </row>
    <row r="1065">
      <c r="A1065">
        <f>IF(B1065="","",VLOOKUP(B1065,Lists!$A$2:$B$25,2,FALSE)&amp;"-"&amp;D1065&amp;"-"&amp;TEXT(E1065,"000"))</f>
        <v/>
      </c>
      <c r="E1065">
        <f>IF(B1065="","",COUNTIFS($B$2:B1065,B1065,$D$2:D1065,D1065))</f>
        <v/>
      </c>
    </row>
    <row r="1066">
      <c r="A1066">
        <f>IF(B1066="","",VLOOKUP(B1066,Lists!$A$2:$B$25,2,FALSE)&amp;"-"&amp;D1066&amp;"-"&amp;TEXT(E1066,"000"))</f>
        <v/>
      </c>
      <c r="E1066">
        <f>IF(B1066="","",COUNTIFS($B$2:B1066,B1066,$D$2:D1066,D1066))</f>
        <v/>
      </c>
    </row>
    <row r="1067">
      <c r="A1067">
        <f>IF(B1067="","",VLOOKUP(B1067,Lists!$A$2:$B$25,2,FALSE)&amp;"-"&amp;D1067&amp;"-"&amp;TEXT(E1067,"000"))</f>
        <v/>
      </c>
      <c r="E1067">
        <f>IF(B1067="","",COUNTIFS($B$2:B1067,B1067,$D$2:D1067,D1067))</f>
        <v/>
      </c>
    </row>
    <row r="1068">
      <c r="A1068">
        <f>IF(B1068="","",VLOOKUP(B1068,Lists!$A$2:$B$25,2,FALSE)&amp;"-"&amp;D1068&amp;"-"&amp;TEXT(E1068,"000"))</f>
        <v/>
      </c>
      <c r="E1068">
        <f>IF(B1068="","",COUNTIFS($B$2:B1068,B1068,$D$2:D1068,D1068))</f>
        <v/>
      </c>
    </row>
    <row r="1069">
      <c r="A1069">
        <f>IF(B1069="","",VLOOKUP(B1069,Lists!$A$2:$B$25,2,FALSE)&amp;"-"&amp;D1069&amp;"-"&amp;TEXT(E1069,"000"))</f>
        <v/>
      </c>
      <c r="E1069">
        <f>IF(B1069="","",COUNTIFS($B$2:B1069,B1069,$D$2:D1069,D1069))</f>
        <v/>
      </c>
    </row>
    <row r="1070">
      <c r="A1070">
        <f>IF(B1070="","",VLOOKUP(B1070,Lists!$A$2:$B$25,2,FALSE)&amp;"-"&amp;D1070&amp;"-"&amp;TEXT(E1070,"000"))</f>
        <v/>
      </c>
      <c r="E1070">
        <f>IF(B1070="","",COUNTIFS($B$2:B1070,B1070,$D$2:D1070,D1070))</f>
        <v/>
      </c>
    </row>
    <row r="1071">
      <c r="A1071">
        <f>IF(B1071="","",VLOOKUP(B1071,Lists!$A$2:$B$25,2,FALSE)&amp;"-"&amp;D1071&amp;"-"&amp;TEXT(E1071,"000"))</f>
        <v/>
      </c>
      <c r="E1071">
        <f>IF(B1071="","",COUNTIFS($B$2:B1071,B1071,$D$2:D1071,D1071))</f>
        <v/>
      </c>
    </row>
    <row r="1072">
      <c r="A1072">
        <f>IF(B1072="","",VLOOKUP(B1072,Lists!$A$2:$B$25,2,FALSE)&amp;"-"&amp;D1072&amp;"-"&amp;TEXT(E1072,"000"))</f>
        <v/>
      </c>
      <c r="E1072">
        <f>IF(B1072="","",COUNTIFS($B$2:B1072,B1072,$D$2:D1072,D1072))</f>
        <v/>
      </c>
    </row>
    <row r="1073">
      <c r="A1073">
        <f>IF(B1073="","",VLOOKUP(B1073,Lists!$A$2:$B$25,2,FALSE)&amp;"-"&amp;D1073&amp;"-"&amp;TEXT(E1073,"000"))</f>
        <v/>
      </c>
      <c r="E1073">
        <f>IF(B1073="","",COUNTIFS($B$2:B1073,B1073,$D$2:D1073,D1073))</f>
        <v/>
      </c>
    </row>
    <row r="1074">
      <c r="A1074">
        <f>IF(B1074="","",VLOOKUP(B1074,Lists!$A$2:$B$25,2,FALSE)&amp;"-"&amp;D1074&amp;"-"&amp;TEXT(E1074,"000"))</f>
        <v/>
      </c>
      <c r="E1074">
        <f>IF(B1074="","",COUNTIFS($B$2:B1074,B1074,$D$2:D1074,D1074))</f>
        <v/>
      </c>
    </row>
    <row r="1075">
      <c r="A1075">
        <f>IF(B1075="","",VLOOKUP(B1075,Lists!$A$2:$B$25,2,FALSE)&amp;"-"&amp;D1075&amp;"-"&amp;TEXT(E1075,"000"))</f>
        <v/>
      </c>
      <c r="E1075">
        <f>IF(B1075="","",COUNTIFS($B$2:B1075,B1075,$D$2:D1075,D1075))</f>
        <v/>
      </c>
    </row>
    <row r="1076">
      <c r="A1076">
        <f>IF(B1076="","",VLOOKUP(B1076,Lists!$A$2:$B$25,2,FALSE)&amp;"-"&amp;D1076&amp;"-"&amp;TEXT(E1076,"000"))</f>
        <v/>
      </c>
      <c r="E1076">
        <f>IF(B1076="","",COUNTIFS($B$2:B1076,B1076,$D$2:D1076,D1076))</f>
        <v/>
      </c>
    </row>
    <row r="1077">
      <c r="A1077">
        <f>IF(B1077="","",VLOOKUP(B1077,Lists!$A$2:$B$25,2,FALSE)&amp;"-"&amp;D1077&amp;"-"&amp;TEXT(E1077,"000"))</f>
        <v/>
      </c>
      <c r="E1077">
        <f>IF(B1077="","",COUNTIFS($B$2:B1077,B1077,$D$2:D1077,D1077))</f>
        <v/>
      </c>
    </row>
    <row r="1078">
      <c r="A1078">
        <f>IF(B1078="","",VLOOKUP(B1078,Lists!$A$2:$B$25,2,FALSE)&amp;"-"&amp;D1078&amp;"-"&amp;TEXT(E1078,"000"))</f>
        <v/>
      </c>
      <c r="E1078">
        <f>IF(B1078="","",COUNTIFS($B$2:B1078,B1078,$D$2:D1078,D1078))</f>
        <v/>
      </c>
    </row>
    <row r="1079">
      <c r="A1079">
        <f>IF(B1079="","",VLOOKUP(B1079,Lists!$A$2:$B$25,2,FALSE)&amp;"-"&amp;D1079&amp;"-"&amp;TEXT(E1079,"000"))</f>
        <v/>
      </c>
      <c r="E1079">
        <f>IF(B1079="","",COUNTIFS($B$2:B1079,B1079,$D$2:D1079,D1079))</f>
        <v/>
      </c>
    </row>
    <row r="1080">
      <c r="A1080">
        <f>IF(B1080="","",VLOOKUP(B1080,Lists!$A$2:$B$25,2,FALSE)&amp;"-"&amp;D1080&amp;"-"&amp;TEXT(E1080,"000"))</f>
        <v/>
      </c>
      <c r="E1080">
        <f>IF(B1080="","",COUNTIFS($B$2:B1080,B1080,$D$2:D1080,D1080))</f>
        <v/>
      </c>
    </row>
    <row r="1081">
      <c r="A1081">
        <f>IF(B1081="","",VLOOKUP(B1081,Lists!$A$2:$B$25,2,FALSE)&amp;"-"&amp;D1081&amp;"-"&amp;TEXT(E1081,"000"))</f>
        <v/>
      </c>
      <c r="E1081">
        <f>IF(B1081="","",COUNTIFS($B$2:B1081,B1081,$D$2:D1081,D1081))</f>
        <v/>
      </c>
    </row>
    <row r="1082">
      <c r="A1082">
        <f>IF(B1082="","",VLOOKUP(B1082,Lists!$A$2:$B$25,2,FALSE)&amp;"-"&amp;D1082&amp;"-"&amp;TEXT(E1082,"000"))</f>
        <v/>
      </c>
      <c r="E1082">
        <f>IF(B1082="","",COUNTIFS($B$2:B1082,B1082,$D$2:D1082,D1082))</f>
        <v/>
      </c>
    </row>
    <row r="1083">
      <c r="A1083">
        <f>IF(B1083="","",VLOOKUP(B1083,Lists!$A$2:$B$25,2,FALSE)&amp;"-"&amp;D1083&amp;"-"&amp;TEXT(E1083,"000"))</f>
        <v/>
      </c>
      <c r="E1083">
        <f>IF(B1083="","",COUNTIFS($B$2:B1083,B1083,$D$2:D1083,D1083))</f>
        <v/>
      </c>
    </row>
    <row r="1084">
      <c r="A1084">
        <f>IF(B1084="","",VLOOKUP(B1084,Lists!$A$2:$B$25,2,FALSE)&amp;"-"&amp;D1084&amp;"-"&amp;TEXT(E1084,"000"))</f>
        <v/>
      </c>
      <c r="E1084">
        <f>IF(B1084="","",COUNTIFS($B$2:B1084,B1084,$D$2:D1084,D1084))</f>
        <v/>
      </c>
    </row>
    <row r="1085">
      <c r="A1085">
        <f>IF(B1085="","",VLOOKUP(B1085,Lists!$A$2:$B$25,2,FALSE)&amp;"-"&amp;D1085&amp;"-"&amp;TEXT(E1085,"000"))</f>
        <v/>
      </c>
      <c r="E1085">
        <f>IF(B1085="","",COUNTIFS($B$2:B1085,B1085,$D$2:D1085,D1085))</f>
        <v/>
      </c>
    </row>
    <row r="1086">
      <c r="A1086">
        <f>IF(B1086="","",VLOOKUP(B1086,Lists!$A$2:$B$25,2,FALSE)&amp;"-"&amp;D1086&amp;"-"&amp;TEXT(E1086,"000"))</f>
        <v/>
      </c>
      <c r="E1086">
        <f>IF(B1086="","",COUNTIFS($B$2:B1086,B1086,$D$2:D1086,D1086))</f>
        <v/>
      </c>
    </row>
    <row r="1087">
      <c r="A1087">
        <f>IF(B1087="","",VLOOKUP(B1087,Lists!$A$2:$B$25,2,FALSE)&amp;"-"&amp;D1087&amp;"-"&amp;TEXT(E1087,"000"))</f>
        <v/>
      </c>
      <c r="E1087">
        <f>IF(B1087="","",COUNTIFS($B$2:B1087,B1087,$D$2:D1087,D1087))</f>
        <v/>
      </c>
    </row>
    <row r="1088">
      <c r="A1088">
        <f>IF(B1088="","",VLOOKUP(B1088,Lists!$A$2:$B$25,2,FALSE)&amp;"-"&amp;D1088&amp;"-"&amp;TEXT(E1088,"000"))</f>
        <v/>
      </c>
      <c r="E1088">
        <f>IF(B1088="","",COUNTIFS($B$2:B1088,B1088,$D$2:D1088,D1088))</f>
        <v/>
      </c>
    </row>
    <row r="1089">
      <c r="A1089">
        <f>IF(B1089="","",VLOOKUP(B1089,Lists!$A$2:$B$25,2,FALSE)&amp;"-"&amp;D1089&amp;"-"&amp;TEXT(E1089,"000"))</f>
        <v/>
      </c>
      <c r="E1089">
        <f>IF(B1089="","",COUNTIFS($B$2:B1089,B1089,$D$2:D1089,D1089))</f>
        <v/>
      </c>
    </row>
    <row r="1090">
      <c r="A1090">
        <f>IF(B1090="","",VLOOKUP(B1090,Lists!$A$2:$B$25,2,FALSE)&amp;"-"&amp;D1090&amp;"-"&amp;TEXT(E1090,"000"))</f>
        <v/>
      </c>
      <c r="E1090">
        <f>IF(B1090="","",COUNTIFS($B$2:B1090,B1090,$D$2:D1090,D1090))</f>
        <v/>
      </c>
    </row>
    <row r="1091">
      <c r="A1091">
        <f>IF(B1091="","",VLOOKUP(B1091,Lists!$A$2:$B$25,2,FALSE)&amp;"-"&amp;D1091&amp;"-"&amp;TEXT(E1091,"000"))</f>
        <v/>
      </c>
      <c r="E1091">
        <f>IF(B1091="","",COUNTIFS($B$2:B1091,B1091,$D$2:D1091,D1091))</f>
        <v/>
      </c>
    </row>
    <row r="1092">
      <c r="A1092">
        <f>IF(B1092="","",VLOOKUP(B1092,Lists!$A$2:$B$25,2,FALSE)&amp;"-"&amp;D1092&amp;"-"&amp;TEXT(E1092,"000"))</f>
        <v/>
      </c>
      <c r="E1092">
        <f>IF(B1092="","",COUNTIFS($B$2:B1092,B1092,$D$2:D1092,D1092))</f>
        <v/>
      </c>
    </row>
    <row r="1093">
      <c r="A1093">
        <f>IF(B1093="","",VLOOKUP(B1093,Lists!$A$2:$B$25,2,FALSE)&amp;"-"&amp;D1093&amp;"-"&amp;TEXT(E1093,"000"))</f>
        <v/>
      </c>
      <c r="E1093">
        <f>IF(B1093="","",COUNTIFS($B$2:B1093,B1093,$D$2:D1093,D1093))</f>
        <v/>
      </c>
    </row>
    <row r="1094">
      <c r="A1094">
        <f>IF(B1094="","",VLOOKUP(B1094,Lists!$A$2:$B$25,2,FALSE)&amp;"-"&amp;D1094&amp;"-"&amp;TEXT(E1094,"000"))</f>
        <v/>
      </c>
      <c r="E1094">
        <f>IF(B1094="","",COUNTIFS($B$2:B1094,B1094,$D$2:D1094,D1094))</f>
        <v/>
      </c>
    </row>
    <row r="1095">
      <c r="A1095">
        <f>IF(B1095="","",VLOOKUP(B1095,Lists!$A$2:$B$25,2,FALSE)&amp;"-"&amp;D1095&amp;"-"&amp;TEXT(E1095,"000"))</f>
        <v/>
      </c>
      <c r="E1095">
        <f>IF(B1095="","",COUNTIFS($B$2:B1095,B1095,$D$2:D1095,D1095))</f>
        <v/>
      </c>
    </row>
    <row r="1096">
      <c r="A1096">
        <f>IF(B1096="","",VLOOKUP(B1096,Lists!$A$2:$B$25,2,FALSE)&amp;"-"&amp;D1096&amp;"-"&amp;TEXT(E1096,"000"))</f>
        <v/>
      </c>
      <c r="E1096">
        <f>IF(B1096="","",COUNTIFS($B$2:B1096,B1096,$D$2:D1096,D1096))</f>
        <v/>
      </c>
    </row>
    <row r="1097">
      <c r="A1097">
        <f>IF(B1097="","",VLOOKUP(B1097,Lists!$A$2:$B$25,2,FALSE)&amp;"-"&amp;D1097&amp;"-"&amp;TEXT(E1097,"000"))</f>
        <v/>
      </c>
      <c r="E1097">
        <f>IF(B1097="","",COUNTIFS($B$2:B1097,B1097,$D$2:D1097,D1097))</f>
        <v/>
      </c>
    </row>
    <row r="1098">
      <c r="A1098">
        <f>IF(B1098="","",VLOOKUP(B1098,Lists!$A$2:$B$25,2,FALSE)&amp;"-"&amp;D1098&amp;"-"&amp;TEXT(E1098,"000"))</f>
        <v/>
      </c>
      <c r="E1098">
        <f>IF(B1098="","",COUNTIFS($B$2:B1098,B1098,$D$2:D1098,D1098))</f>
        <v/>
      </c>
    </row>
    <row r="1099">
      <c r="A1099">
        <f>IF(B1099="","",VLOOKUP(B1099,Lists!$A$2:$B$25,2,FALSE)&amp;"-"&amp;D1099&amp;"-"&amp;TEXT(E1099,"000"))</f>
        <v/>
      </c>
      <c r="E1099">
        <f>IF(B1099="","",COUNTIFS($B$2:B1099,B1099,$D$2:D1099,D1099))</f>
        <v/>
      </c>
    </row>
    <row r="1100">
      <c r="A1100">
        <f>IF(B1100="","",VLOOKUP(B1100,Lists!$A$2:$B$25,2,FALSE)&amp;"-"&amp;D1100&amp;"-"&amp;TEXT(E1100,"000"))</f>
        <v/>
      </c>
      <c r="E1100">
        <f>IF(B1100="","",COUNTIFS($B$2:B1100,B1100,$D$2:D1100,D1100))</f>
        <v/>
      </c>
    </row>
    <row r="1101">
      <c r="A1101">
        <f>IF(B1101="","",VLOOKUP(B1101,Lists!$A$2:$B$25,2,FALSE)&amp;"-"&amp;D1101&amp;"-"&amp;TEXT(E1101,"000"))</f>
        <v/>
      </c>
      <c r="E1101">
        <f>IF(B1101="","",COUNTIFS($B$2:B1101,B1101,$D$2:D1101,D1101))</f>
        <v/>
      </c>
    </row>
    <row r="1102">
      <c r="A1102">
        <f>IF(B1102="","",VLOOKUP(B1102,Lists!$A$2:$B$25,2,FALSE)&amp;"-"&amp;D1102&amp;"-"&amp;TEXT(E1102,"000"))</f>
        <v/>
      </c>
      <c r="E1102">
        <f>IF(B1102="","",COUNTIFS($B$2:B1102,B1102,$D$2:D1102,D1102))</f>
        <v/>
      </c>
    </row>
    <row r="1103">
      <c r="A1103">
        <f>IF(B1103="","",VLOOKUP(B1103,Lists!$A$2:$B$25,2,FALSE)&amp;"-"&amp;D1103&amp;"-"&amp;TEXT(E1103,"000"))</f>
        <v/>
      </c>
      <c r="E1103">
        <f>IF(B1103="","",COUNTIFS($B$2:B1103,B1103,$D$2:D1103,D1103))</f>
        <v/>
      </c>
    </row>
    <row r="1104">
      <c r="A1104">
        <f>IF(B1104="","",VLOOKUP(B1104,Lists!$A$2:$B$25,2,FALSE)&amp;"-"&amp;D1104&amp;"-"&amp;TEXT(E1104,"000"))</f>
        <v/>
      </c>
      <c r="E1104">
        <f>IF(B1104="","",COUNTIFS($B$2:B1104,B1104,$D$2:D1104,D1104))</f>
        <v/>
      </c>
    </row>
    <row r="1105">
      <c r="A1105">
        <f>IF(B1105="","",VLOOKUP(B1105,Lists!$A$2:$B$25,2,FALSE)&amp;"-"&amp;D1105&amp;"-"&amp;TEXT(E1105,"000"))</f>
        <v/>
      </c>
      <c r="E1105">
        <f>IF(B1105="","",COUNTIFS($B$2:B1105,B1105,$D$2:D1105,D1105))</f>
        <v/>
      </c>
    </row>
    <row r="1106">
      <c r="A1106">
        <f>IF(B1106="","",VLOOKUP(B1106,Lists!$A$2:$B$25,2,FALSE)&amp;"-"&amp;D1106&amp;"-"&amp;TEXT(E1106,"000"))</f>
        <v/>
      </c>
      <c r="E1106">
        <f>IF(B1106="","",COUNTIFS($B$2:B1106,B1106,$D$2:D1106,D1106))</f>
        <v/>
      </c>
    </row>
    <row r="1107">
      <c r="A1107">
        <f>IF(B1107="","",VLOOKUP(B1107,Lists!$A$2:$B$25,2,FALSE)&amp;"-"&amp;D1107&amp;"-"&amp;TEXT(E1107,"000"))</f>
        <v/>
      </c>
      <c r="E1107">
        <f>IF(B1107="","",COUNTIFS($B$2:B1107,B1107,$D$2:D1107,D1107))</f>
        <v/>
      </c>
    </row>
    <row r="1108">
      <c r="A1108">
        <f>IF(B1108="","",VLOOKUP(B1108,Lists!$A$2:$B$25,2,FALSE)&amp;"-"&amp;D1108&amp;"-"&amp;TEXT(E1108,"000"))</f>
        <v/>
      </c>
      <c r="E1108">
        <f>IF(B1108="","",COUNTIFS($B$2:B1108,B1108,$D$2:D1108,D1108))</f>
        <v/>
      </c>
    </row>
    <row r="1109">
      <c r="A1109">
        <f>IF(B1109="","",VLOOKUP(B1109,Lists!$A$2:$B$25,2,FALSE)&amp;"-"&amp;D1109&amp;"-"&amp;TEXT(E1109,"000"))</f>
        <v/>
      </c>
      <c r="E1109">
        <f>IF(B1109="","",COUNTIFS($B$2:B1109,B1109,$D$2:D1109,D1109))</f>
        <v/>
      </c>
    </row>
    <row r="1110">
      <c r="A1110">
        <f>IF(B1110="","",VLOOKUP(B1110,Lists!$A$2:$B$25,2,FALSE)&amp;"-"&amp;D1110&amp;"-"&amp;TEXT(E1110,"000"))</f>
        <v/>
      </c>
      <c r="E1110">
        <f>IF(B1110="","",COUNTIFS($B$2:B1110,B1110,$D$2:D1110,D1110))</f>
        <v/>
      </c>
    </row>
    <row r="1111">
      <c r="A1111">
        <f>IF(B1111="","",VLOOKUP(B1111,Lists!$A$2:$B$25,2,FALSE)&amp;"-"&amp;D1111&amp;"-"&amp;TEXT(E1111,"000"))</f>
        <v/>
      </c>
      <c r="E1111">
        <f>IF(B1111="","",COUNTIFS($B$2:B1111,B1111,$D$2:D1111,D1111))</f>
        <v/>
      </c>
    </row>
    <row r="1112">
      <c r="A1112">
        <f>IF(B1112="","",VLOOKUP(B1112,Lists!$A$2:$B$25,2,FALSE)&amp;"-"&amp;D1112&amp;"-"&amp;TEXT(E1112,"000"))</f>
        <v/>
      </c>
      <c r="E1112">
        <f>IF(B1112="","",COUNTIFS($B$2:B1112,B1112,$D$2:D1112,D1112))</f>
        <v/>
      </c>
    </row>
    <row r="1113">
      <c r="A1113">
        <f>IF(B1113="","",VLOOKUP(B1113,Lists!$A$2:$B$25,2,FALSE)&amp;"-"&amp;D1113&amp;"-"&amp;TEXT(E1113,"000"))</f>
        <v/>
      </c>
      <c r="E1113">
        <f>IF(B1113="","",COUNTIFS($B$2:B1113,B1113,$D$2:D1113,D1113))</f>
        <v/>
      </c>
    </row>
    <row r="1114">
      <c r="A1114">
        <f>IF(B1114="","",VLOOKUP(B1114,Lists!$A$2:$B$25,2,FALSE)&amp;"-"&amp;D1114&amp;"-"&amp;TEXT(E1114,"000"))</f>
        <v/>
      </c>
      <c r="E1114">
        <f>IF(B1114="","",COUNTIFS($B$2:B1114,B1114,$D$2:D1114,D1114))</f>
        <v/>
      </c>
    </row>
    <row r="1115">
      <c r="A1115">
        <f>IF(B1115="","",VLOOKUP(B1115,Lists!$A$2:$B$25,2,FALSE)&amp;"-"&amp;D1115&amp;"-"&amp;TEXT(E1115,"000"))</f>
        <v/>
      </c>
      <c r="E1115">
        <f>IF(B1115="","",COUNTIFS($B$2:B1115,B1115,$D$2:D1115,D1115))</f>
        <v/>
      </c>
    </row>
    <row r="1116">
      <c r="A1116">
        <f>IF(B1116="","",VLOOKUP(B1116,Lists!$A$2:$B$25,2,FALSE)&amp;"-"&amp;D1116&amp;"-"&amp;TEXT(E1116,"000"))</f>
        <v/>
      </c>
      <c r="E1116">
        <f>IF(B1116="","",COUNTIFS($B$2:B1116,B1116,$D$2:D1116,D1116))</f>
        <v/>
      </c>
    </row>
    <row r="1117">
      <c r="A1117">
        <f>IF(B1117="","",VLOOKUP(B1117,Lists!$A$2:$B$25,2,FALSE)&amp;"-"&amp;D1117&amp;"-"&amp;TEXT(E1117,"000"))</f>
        <v/>
      </c>
      <c r="E1117">
        <f>IF(B1117="","",COUNTIFS($B$2:B1117,B1117,$D$2:D1117,D1117))</f>
        <v/>
      </c>
    </row>
    <row r="1118">
      <c r="A1118">
        <f>IF(B1118="","",VLOOKUP(B1118,Lists!$A$2:$B$25,2,FALSE)&amp;"-"&amp;D1118&amp;"-"&amp;TEXT(E1118,"000"))</f>
        <v/>
      </c>
      <c r="E1118">
        <f>IF(B1118="","",COUNTIFS($B$2:B1118,B1118,$D$2:D1118,D1118))</f>
        <v/>
      </c>
    </row>
    <row r="1119">
      <c r="A1119">
        <f>IF(B1119="","",VLOOKUP(B1119,Lists!$A$2:$B$25,2,FALSE)&amp;"-"&amp;D1119&amp;"-"&amp;TEXT(E1119,"000"))</f>
        <v/>
      </c>
      <c r="E1119">
        <f>IF(B1119="","",COUNTIFS($B$2:B1119,B1119,$D$2:D1119,D1119))</f>
        <v/>
      </c>
    </row>
    <row r="1120">
      <c r="A1120">
        <f>IF(B1120="","",VLOOKUP(B1120,Lists!$A$2:$B$25,2,FALSE)&amp;"-"&amp;D1120&amp;"-"&amp;TEXT(E1120,"000"))</f>
        <v/>
      </c>
      <c r="E1120">
        <f>IF(B1120="","",COUNTIFS($B$2:B1120,B1120,$D$2:D1120,D1120))</f>
        <v/>
      </c>
    </row>
    <row r="1121">
      <c r="A1121">
        <f>IF(B1121="","",VLOOKUP(B1121,Lists!$A$2:$B$25,2,FALSE)&amp;"-"&amp;D1121&amp;"-"&amp;TEXT(E1121,"000"))</f>
        <v/>
      </c>
      <c r="E1121">
        <f>IF(B1121="","",COUNTIFS($B$2:B1121,B1121,$D$2:D1121,D1121))</f>
        <v/>
      </c>
    </row>
    <row r="1122">
      <c r="A1122">
        <f>IF(B1122="","",VLOOKUP(B1122,Lists!$A$2:$B$25,2,FALSE)&amp;"-"&amp;D1122&amp;"-"&amp;TEXT(E1122,"000"))</f>
        <v/>
      </c>
      <c r="E1122">
        <f>IF(B1122="","",COUNTIFS($B$2:B1122,B1122,$D$2:D1122,D1122))</f>
        <v/>
      </c>
    </row>
    <row r="1123">
      <c r="A1123">
        <f>IF(B1123="","",VLOOKUP(B1123,Lists!$A$2:$B$25,2,FALSE)&amp;"-"&amp;D1123&amp;"-"&amp;TEXT(E1123,"000"))</f>
        <v/>
      </c>
      <c r="E1123">
        <f>IF(B1123="","",COUNTIFS($B$2:B1123,B1123,$D$2:D1123,D1123))</f>
        <v/>
      </c>
    </row>
    <row r="1124">
      <c r="A1124">
        <f>IF(B1124="","",VLOOKUP(B1124,Lists!$A$2:$B$25,2,FALSE)&amp;"-"&amp;D1124&amp;"-"&amp;TEXT(E1124,"000"))</f>
        <v/>
      </c>
      <c r="E1124">
        <f>IF(B1124="","",COUNTIFS($B$2:B1124,B1124,$D$2:D1124,D1124))</f>
        <v/>
      </c>
    </row>
    <row r="1125">
      <c r="A1125">
        <f>IF(B1125="","",VLOOKUP(B1125,Lists!$A$2:$B$25,2,FALSE)&amp;"-"&amp;D1125&amp;"-"&amp;TEXT(E1125,"000"))</f>
        <v/>
      </c>
      <c r="E1125">
        <f>IF(B1125="","",COUNTIFS($B$2:B1125,B1125,$D$2:D1125,D1125))</f>
        <v/>
      </c>
    </row>
    <row r="1126">
      <c r="A1126">
        <f>IF(B1126="","",VLOOKUP(B1126,Lists!$A$2:$B$25,2,FALSE)&amp;"-"&amp;D1126&amp;"-"&amp;TEXT(E1126,"000"))</f>
        <v/>
      </c>
      <c r="E1126">
        <f>IF(B1126="","",COUNTIFS($B$2:B1126,B1126,$D$2:D1126,D1126))</f>
        <v/>
      </c>
    </row>
    <row r="1127">
      <c r="A1127">
        <f>IF(B1127="","",VLOOKUP(B1127,Lists!$A$2:$B$25,2,FALSE)&amp;"-"&amp;D1127&amp;"-"&amp;TEXT(E1127,"000"))</f>
        <v/>
      </c>
      <c r="E1127">
        <f>IF(B1127="","",COUNTIFS($B$2:B1127,B1127,$D$2:D1127,D1127))</f>
        <v/>
      </c>
    </row>
    <row r="1128">
      <c r="A1128">
        <f>IF(B1128="","",VLOOKUP(B1128,Lists!$A$2:$B$25,2,FALSE)&amp;"-"&amp;D1128&amp;"-"&amp;TEXT(E1128,"000"))</f>
        <v/>
      </c>
      <c r="E1128">
        <f>IF(B1128="","",COUNTIFS($B$2:B1128,B1128,$D$2:D1128,D1128))</f>
        <v/>
      </c>
    </row>
    <row r="1129">
      <c r="A1129">
        <f>IF(B1129="","",VLOOKUP(B1129,Lists!$A$2:$B$25,2,FALSE)&amp;"-"&amp;D1129&amp;"-"&amp;TEXT(E1129,"000"))</f>
        <v/>
      </c>
      <c r="E1129">
        <f>IF(B1129="","",COUNTIFS($B$2:B1129,B1129,$D$2:D1129,D1129))</f>
        <v/>
      </c>
    </row>
    <row r="1130">
      <c r="A1130">
        <f>IF(B1130="","",VLOOKUP(B1130,Lists!$A$2:$B$25,2,FALSE)&amp;"-"&amp;D1130&amp;"-"&amp;TEXT(E1130,"000"))</f>
        <v/>
      </c>
      <c r="E1130">
        <f>IF(B1130="","",COUNTIFS($B$2:B1130,B1130,$D$2:D1130,D1130))</f>
        <v/>
      </c>
    </row>
    <row r="1131">
      <c r="A1131">
        <f>IF(B1131="","",VLOOKUP(B1131,Lists!$A$2:$B$25,2,FALSE)&amp;"-"&amp;D1131&amp;"-"&amp;TEXT(E1131,"000"))</f>
        <v/>
      </c>
      <c r="E1131">
        <f>IF(B1131="","",COUNTIFS($B$2:B1131,B1131,$D$2:D1131,D1131))</f>
        <v/>
      </c>
    </row>
    <row r="1132">
      <c r="A1132">
        <f>IF(B1132="","",VLOOKUP(B1132,Lists!$A$2:$B$25,2,FALSE)&amp;"-"&amp;D1132&amp;"-"&amp;TEXT(E1132,"000"))</f>
        <v/>
      </c>
      <c r="E1132">
        <f>IF(B1132="","",COUNTIFS($B$2:B1132,B1132,$D$2:D1132,D1132))</f>
        <v/>
      </c>
    </row>
    <row r="1133">
      <c r="A1133">
        <f>IF(B1133="","",VLOOKUP(B1133,Lists!$A$2:$B$25,2,FALSE)&amp;"-"&amp;D1133&amp;"-"&amp;TEXT(E1133,"000"))</f>
        <v/>
      </c>
      <c r="E1133">
        <f>IF(B1133="","",COUNTIFS($B$2:B1133,B1133,$D$2:D1133,D1133))</f>
        <v/>
      </c>
    </row>
    <row r="1134">
      <c r="A1134">
        <f>IF(B1134="","",VLOOKUP(B1134,Lists!$A$2:$B$25,2,FALSE)&amp;"-"&amp;D1134&amp;"-"&amp;TEXT(E1134,"000"))</f>
        <v/>
      </c>
      <c r="E1134">
        <f>IF(B1134="","",COUNTIFS($B$2:B1134,B1134,$D$2:D1134,D1134))</f>
        <v/>
      </c>
    </row>
    <row r="1135">
      <c r="A1135">
        <f>IF(B1135="","",VLOOKUP(B1135,Lists!$A$2:$B$25,2,FALSE)&amp;"-"&amp;D1135&amp;"-"&amp;TEXT(E1135,"000"))</f>
        <v/>
      </c>
      <c r="E1135">
        <f>IF(B1135="","",COUNTIFS($B$2:B1135,B1135,$D$2:D1135,D1135))</f>
        <v/>
      </c>
    </row>
    <row r="1136">
      <c r="A1136">
        <f>IF(B1136="","",VLOOKUP(B1136,Lists!$A$2:$B$25,2,FALSE)&amp;"-"&amp;D1136&amp;"-"&amp;TEXT(E1136,"000"))</f>
        <v/>
      </c>
      <c r="E1136">
        <f>IF(B1136="","",COUNTIFS($B$2:B1136,B1136,$D$2:D1136,D1136))</f>
        <v/>
      </c>
    </row>
    <row r="1137">
      <c r="A1137">
        <f>IF(B1137="","",VLOOKUP(B1137,Lists!$A$2:$B$25,2,FALSE)&amp;"-"&amp;D1137&amp;"-"&amp;TEXT(E1137,"000"))</f>
        <v/>
      </c>
      <c r="E1137">
        <f>IF(B1137="","",COUNTIFS($B$2:B1137,B1137,$D$2:D1137,D1137))</f>
        <v/>
      </c>
    </row>
    <row r="1138">
      <c r="A1138">
        <f>IF(B1138="","",VLOOKUP(B1138,Lists!$A$2:$B$25,2,FALSE)&amp;"-"&amp;D1138&amp;"-"&amp;TEXT(E1138,"000"))</f>
        <v/>
      </c>
      <c r="E1138">
        <f>IF(B1138="","",COUNTIFS($B$2:B1138,B1138,$D$2:D1138,D1138))</f>
        <v/>
      </c>
    </row>
    <row r="1139">
      <c r="A1139">
        <f>IF(B1139="","",VLOOKUP(B1139,Lists!$A$2:$B$25,2,FALSE)&amp;"-"&amp;D1139&amp;"-"&amp;TEXT(E1139,"000"))</f>
        <v/>
      </c>
      <c r="E1139">
        <f>IF(B1139="","",COUNTIFS($B$2:B1139,B1139,$D$2:D1139,D1139))</f>
        <v/>
      </c>
    </row>
    <row r="1140">
      <c r="A1140">
        <f>IF(B1140="","",VLOOKUP(B1140,Lists!$A$2:$B$25,2,FALSE)&amp;"-"&amp;D1140&amp;"-"&amp;TEXT(E1140,"000"))</f>
        <v/>
      </c>
      <c r="E1140">
        <f>IF(B1140="","",COUNTIFS($B$2:B1140,B1140,$D$2:D1140,D1140))</f>
        <v/>
      </c>
    </row>
    <row r="1141">
      <c r="A1141">
        <f>IF(B1141="","",VLOOKUP(B1141,Lists!$A$2:$B$25,2,FALSE)&amp;"-"&amp;D1141&amp;"-"&amp;TEXT(E1141,"000"))</f>
        <v/>
      </c>
      <c r="E1141">
        <f>IF(B1141="","",COUNTIFS($B$2:B1141,B1141,$D$2:D1141,D1141))</f>
        <v/>
      </c>
    </row>
    <row r="1142">
      <c r="A1142">
        <f>IF(B1142="","",VLOOKUP(B1142,Lists!$A$2:$B$25,2,FALSE)&amp;"-"&amp;D1142&amp;"-"&amp;TEXT(E1142,"000"))</f>
        <v/>
      </c>
      <c r="E1142">
        <f>IF(B1142="","",COUNTIFS($B$2:B1142,B1142,$D$2:D1142,D1142))</f>
        <v/>
      </c>
    </row>
    <row r="1143">
      <c r="A1143">
        <f>IF(B1143="","",VLOOKUP(B1143,Lists!$A$2:$B$25,2,FALSE)&amp;"-"&amp;D1143&amp;"-"&amp;TEXT(E1143,"000"))</f>
        <v/>
      </c>
      <c r="E1143">
        <f>IF(B1143="","",COUNTIFS($B$2:B1143,B1143,$D$2:D1143,D1143))</f>
        <v/>
      </c>
    </row>
    <row r="1144">
      <c r="A1144">
        <f>IF(B1144="","",VLOOKUP(B1144,Lists!$A$2:$B$25,2,FALSE)&amp;"-"&amp;D1144&amp;"-"&amp;TEXT(E1144,"000"))</f>
        <v/>
      </c>
      <c r="E1144">
        <f>IF(B1144="","",COUNTIFS($B$2:B1144,B1144,$D$2:D1144,D1144))</f>
        <v/>
      </c>
    </row>
    <row r="1145">
      <c r="A1145">
        <f>IF(B1145="","",VLOOKUP(B1145,Lists!$A$2:$B$25,2,FALSE)&amp;"-"&amp;D1145&amp;"-"&amp;TEXT(E1145,"000"))</f>
        <v/>
      </c>
      <c r="E1145">
        <f>IF(B1145="","",COUNTIFS($B$2:B1145,B1145,$D$2:D1145,D1145))</f>
        <v/>
      </c>
    </row>
    <row r="1146">
      <c r="A1146">
        <f>IF(B1146="","",VLOOKUP(B1146,Lists!$A$2:$B$25,2,FALSE)&amp;"-"&amp;D1146&amp;"-"&amp;TEXT(E1146,"000"))</f>
        <v/>
      </c>
      <c r="E1146">
        <f>IF(B1146="","",COUNTIFS($B$2:B1146,B1146,$D$2:D1146,D1146))</f>
        <v/>
      </c>
    </row>
    <row r="1147">
      <c r="A1147">
        <f>IF(B1147="","",VLOOKUP(B1147,Lists!$A$2:$B$25,2,FALSE)&amp;"-"&amp;D1147&amp;"-"&amp;TEXT(E1147,"000"))</f>
        <v/>
      </c>
      <c r="E1147">
        <f>IF(B1147="","",COUNTIFS($B$2:B1147,B1147,$D$2:D1147,D1147))</f>
        <v/>
      </c>
    </row>
    <row r="1148">
      <c r="A1148">
        <f>IF(B1148="","",VLOOKUP(B1148,Lists!$A$2:$B$25,2,FALSE)&amp;"-"&amp;D1148&amp;"-"&amp;TEXT(E1148,"000"))</f>
        <v/>
      </c>
      <c r="E1148">
        <f>IF(B1148="","",COUNTIFS($B$2:B1148,B1148,$D$2:D1148,D1148))</f>
        <v/>
      </c>
    </row>
    <row r="1149">
      <c r="A1149">
        <f>IF(B1149="","",VLOOKUP(B1149,Lists!$A$2:$B$25,2,FALSE)&amp;"-"&amp;D1149&amp;"-"&amp;TEXT(E1149,"000"))</f>
        <v/>
      </c>
      <c r="E1149">
        <f>IF(B1149="","",COUNTIFS($B$2:B1149,B1149,$D$2:D1149,D1149))</f>
        <v/>
      </c>
    </row>
    <row r="1150">
      <c r="A1150">
        <f>IF(B1150="","",VLOOKUP(B1150,Lists!$A$2:$B$25,2,FALSE)&amp;"-"&amp;D1150&amp;"-"&amp;TEXT(E1150,"000"))</f>
        <v/>
      </c>
      <c r="E1150">
        <f>IF(B1150="","",COUNTIFS($B$2:B1150,B1150,$D$2:D1150,D1150))</f>
        <v/>
      </c>
    </row>
    <row r="1151">
      <c r="A1151">
        <f>IF(B1151="","",VLOOKUP(B1151,Lists!$A$2:$B$25,2,FALSE)&amp;"-"&amp;D1151&amp;"-"&amp;TEXT(E1151,"000"))</f>
        <v/>
      </c>
      <c r="E1151">
        <f>IF(B1151="","",COUNTIFS($B$2:B1151,B1151,$D$2:D1151,D1151))</f>
        <v/>
      </c>
    </row>
    <row r="1152">
      <c r="A1152">
        <f>IF(B1152="","",VLOOKUP(B1152,Lists!$A$2:$B$25,2,FALSE)&amp;"-"&amp;D1152&amp;"-"&amp;TEXT(E1152,"000"))</f>
        <v/>
      </c>
      <c r="E1152">
        <f>IF(B1152="","",COUNTIFS($B$2:B1152,B1152,$D$2:D1152,D1152))</f>
        <v/>
      </c>
    </row>
    <row r="1153">
      <c r="A1153">
        <f>IF(B1153="","",VLOOKUP(B1153,Lists!$A$2:$B$25,2,FALSE)&amp;"-"&amp;D1153&amp;"-"&amp;TEXT(E1153,"000"))</f>
        <v/>
      </c>
      <c r="E1153">
        <f>IF(B1153="","",COUNTIFS($B$2:B1153,B1153,$D$2:D1153,D1153))</f>
        <v/>
      </c>
    </row>
    <row r="1154">
      <c r="A1154">
        <f>IF(B1154="","",VLOOKUP(B1154,Lists!$A$2:$B$25,2,FALSE)&amp;"-"&amp;D1154&amp;"-"&amp;TEXT(E1154,"000"))</f>
        <v/>
      </c>
      <c r="E1154">
        <f>IF(B1154="","",COUNTIFS($B$2:B1154,B1154,$D$2:D1154,D1154))</f>
        <v/>
      </c>
    </row>
    <row r="1155">
      <c r="A1155">
        <f>IF(B1155="","",VLOOKUP(B1155,Lists!$A$2:$B$25,2,FALSE)&amp;"-"&amp;D1155&amp;"-"&amp;TEXT(E1155,"000"))</f>
        <v/>
      </c>
      <c r="E1155">
        <f>IF(B1155="","",COUNTIFS($B$2:B1155,B1155,$D$2:D1155,D1155))</f>
        <v/>
      </c>
    </row>
    <row r="1156">
      <c r="A1156">
        <f>IF(B1156="","",VLOOKUP(B1156,Lists!$A$2:$B$25,2,FALSE)&amp;"-"&amp;D1156&amp;"-"&amp;TEXT(E1156,"000"))</f>
        <v/>
      </c>
      <c r="E1156">
        <f>IF(B1156="","",COUNTIFS($B$2:B1156,B1156,$D$2:D1156,D1156))</f>
        <v/>
      </c>
    </row>
    <row r="1157">
      <c r="A1157">
        <f>IF(B1157="","",VLOOKUP(B1157,Lists!$A$2:$B$25,2,FALSE)&amp;"-"&amp;D1157&amp;"-"&amp;TEXT(E1157,"000"))</f>
        <v/>
      </c>
      <c r="E1157">
        <f>IF(B1157="","",COUNTIFS($B$2:B1157,B1157,$D$2:D1157,D1157))</f>
        <v/>
      </c>
    </row>
    <row r="1158">
      <c r="A1158">
        <f>IF(B1158="","",VLOOKUP(B1158,Lists!$A$2:$B$25,2,FALSE)&amp;"-"&amp;D1158&amp;"-"&amp;TEXT(E1158,"000"))</f>
        <v/>
      </c>
      <c r="E1158">
        <f>IF(B1158="","",COUNTIFS($B$2:B1158,B1158,$D$2:D1158,D1158))</f>
        <v/>
      </c>
    </row>
    <row r="1159">
      <c r="A1159">
        <f>IF(B1159="","",VLOOKUP(B1159,Lists!$A$2:$B$25,2,FALSE)&amp;"-"&amp;D1159&amp;"-"&amp;TEXT(E1159,"000"))</f>
        <v/>
      </c>
      <c r="E1159">
        <f>IF(B1159="","",COUNTIFS($B$2:B1159,B1159,$D$2:D1159,D1159))</f>
        <v/>
      </c>
    </row>
    <row r="1160">
      <c r="A1160">
        <f>IF(B1160="","",VLOOKUP(B1160,Lists!$A$2:$B$25,2,FALSE)&amp;"-"&amp;D1160&amp;"-"&amp;TEXT(E1160,"000"))</f>
        <v/>
      </c>
      <c r="E1160">
        <f>IF(B1160="","",COUNTIFS($B$2:B1160,B1160,$D$2:D1160,D1160))</f>
        <v/>
      </c>
    </row>
    <row r="1161">
      <c r="A1161">
        <f>IF(B1161="","",VLOOKUP(B1161,Lists!$A$2:$B$25,2,FALSE)&amp;"-"&amp;D1161&amp;"-"&amp;TEXT(E1161,"000"))</f>
        <v/>
      </c>
      <c r="E1161">
        <f>IF(B1161="","",COUNTIFS($B$2:B1161,B1161,$D$2:D1161,D1161))</f>
        <v/>
      </c>
    </row>
    <row r="1162">
      <c r="A1162">
        <f>IF(B1162="","",VLOOKUP(B1162,Lists!$A$2:$B$25,2,FALSE)&amp;"-"&amp;D1162&amp;"-"&amp;TEXT(E1162,"000"))</f>
        <v/>
      </c>
      <c r="E1162">
        <f>IF(B1162="","",COUNTIFS($B$2:B1162,B1162,$D$2:D1162,D1162))</f>
        <v/>
      </c>
    </row>
    <row r="1163">
      <c r="A1163">
        <f>IF(B1163="","",VLOOKUP(B1163,Lists!$A$2:$B$25,2,FALSE)&amp;"-"&amp;D1163&amp;"-"&amp;TEXT(E1163,"000"))</f>
        <v/>
      </c>
      <c r="E1163">
        <f>IF(B1163="","",COUNTIFS($B$2:B1163,B1163,$D$2:D1163,D1163))</f>
        <v/>
      </c>
    </row>
    <row r="1164">
      <c r="A1164">
        <f>IF(B1164="","",VLOOKUP(B1164,Lists!$A$2:$B$25,2,FALSE)&amp;"-"&amp;D1164&amp;"-"&amp;TEXT(E1164,"000"))</f>
        <v/>
      </c>
      <c r="E1164">
        <f>IF(B1164="","",COUNTIFS($B$2:B1164,B1164,$D$2:D1164,D1164))</f>
        <v/>
      </c>
    </row>
    <row r="1165">
      <c r="A1165">
        <f>IF(B1165="","",VLOOKUP(B1165,Lists!$A$2:$B$25,2,FALSE)&amp;"-"&amp;D1165&amp;"-"&amp;TEXT(E1165,"000"))</f>
        <v/>
      </c>
      <c r="E1165">
        <f>IF(B1165="","",COUNTIFS($B$2:B1165,B1165,$D$2:D1165,D1165))</f>
        <v/>
      </c>
    </row>
    <row r="1166">
      <c r="A1166">
        <f>IF(B1166="","",VLOOKUP(B1166,Lists!$A$2:$B$25,2,FALSE)&amp;"-"&amp;D1166&amp;"-"&amp;TEXT(E1166,"000"))</f>
        <v/>
      </c>
      <c r="E1166">
        <f>IF(B1166="","",COUNTIFS($B$2:B1166,B1166,$D$2:D1166,D1166))</f>
        <v/>
      </c>
    </row>
    <row r="1167">
      <c r="A1167">
        <f>IF(B1167="","",VLOOKUP(B1167,Lists!$A$2:$B$25,2,FALSE)&amp;"-"&amp;D1167&amp;"-"&amp;TEXT(E1167,"000"))</f>
        <v/>
      </c>
      <c r="E1167">
        <f>IF(B1167="","",COUNTIFS($B$2:B1167,B1167,$D$2:D1167,D1167))</f>
        <v/>
      </c>
    </row>
    <row r="1168">
      <c r="A1168">
        <f>IF(B1168="","",VLOOKUP(B1168,Lists!$A$2:$B$25,2,FALSE)&amp;"-"&amp;D1168&amp;"-"&amp;TEXT(E1168,"000"))</f>
        <v/>
      </c>
      <c r="E1168">
        <f>IF(B1168="","",COUNTIFS($B$2:B1168,B1168,$D$2:D1168,D1168))</f>
        <v/>
      </c>
    </row>
    <row r="1169">
      <c r="A1169">
        <f>IF(B1169="","",VLOOKUP(B1169,Lists!$A$2:$B$25,2,FALSE)&amp;"-"&amp;D1169&amp;"-"&amp;TEXT(E1169,"000"))</f>
        <v/>
      </c>
      <c r="E1169">
        <f>IF(B1169="","",COUNTIFS($B$2:B1169,B1169,$D$2:D1169,D1169))</f>
        <v/>
      </c>
    </row>
    <row r="1170">
      <c r="A1170">
        <f>IF(B1170="","",VLOOKUP(B1170,Lists!$A$2:$B$25,2,FALSE)&amp;"-"&amp;D1170&amp;"-"&amp;TEXT(E1170,"000"))</f>
        <v/>
      </c>
      <c r="E1170">
        <f>IF(B1170="","",COUNTIFS($B$2:B1170,B1170,$D$2:D1170,D1170))</f>
        <v/>
      </c>
    </row>
    <row r="1171">
      <c r="A1171">
        <f>IF(B1171="","",VLOOKUP(B1171,Lists!$A$2:$B$25,2,FALSE)&amp;"-"&amp;D1171&amp;"-"&amp;TEXT(E1171,"000"))</f>
        <v/>
      </c>
      <c r="E1171">
        <f>IF(B1171="","",COUNTIFS($B$2:B1171,B1171,$D$2:D1171,D1171))</f>
        <v/>
      </c>
    </row>
    <row r="1172">
      <c r="A1172">
        <f>IF(B1172="","",VLOOKUP(B1172,Lists!$A$2:$B$25,2,FALSE)&amp;"-"&amp;D1172&amp;"-"&amp;TEXT(E1172,"000"))</f>
        <v/>
      </c>
      <c r="E1172">
        <f>IF(B1172="","",COUNTIFS($B$2:B1172,B1172,$D$2:D1172,D1172))</f>
        <v/>
      </c>
    </row>
    <row r="1173">
      <c r="A1173">
        <f>IF(B1173="","",VLOOKUP(B1173,Lists!$A$2:$B$25,2,FALSE)&amp;"-"&amp;D1173&amp;"-"&amp;TEXT(E1173,"000"))</f>
        <v/>
      </c>
      <c r="E1173">
        <f>IF(B1173="","",COUNTIFS($B$2:B1173,B1173,$D$2:D1173,D1173))</f>
        <v/>
      </c>
    </row>
    <row r="1174">
      <c r="A1174">
        <f>IF(B1174="","",VLOOKUP(B1174,Lists!$A$2:$B$25,2,FALSE)&amp;"-"&amp;D1174&amp;"-"&amp;TEXT(E1174,"000"))</f>
        <v/>
      </c>
      <c r="E1174">
        <f>IF(B1174="","",COUNTIFS($B$2:B1174,B1174,$D$2:D1174,D1174))</f>
        <v/>
      </c>
    </row>
    <row r="1175">
      <c r="A1175">
        <f>IF(B1175="","",VLOOKUP(B1175,Lists!$A$2:$B$25,2,FALSE)&amp;"-"&amp;D1175&amp;"-"&amp;TEXT(E1175,"000"))</f>
        <v/>
      </c>
      <c r="E1175">
        <f>IF(B1175="","",COUNTIFS($B$2:B1175,B1175,$D$2:D1175,D1175))</f>
        <v/>
      </c>
    </row>
    <row r="1176">
      <c r="A1176">
        <f>IF(B1176="","",VLOOKUP(B1176,Lists!$A$2:$B$25,2,FALSE)&amp;"-"&amp;D1176&amp;"-"&amp;TEXT(E1176,"000"))</f>
        <v/>
      </c>
      <c r="E1176">
        <f>IF(B1176="","",COUNTIFS($B$2:B1176,B1176,$D$2:D1176,D1176))</f>
        <v/>
      </c>
    </row>
    <row r="1177">
      <c r="A1177">
        <f>IF(B1177="","",VLOOKUP(B1177,Lists!$A$2:$B$25,2,FALSE)&amp;"-"&amp;D1177&amp;"-"&amp;TEXT(E1177,"000"))</f>
        <v/>
      </c>
      <c r="E1177">
        <f>IF(B1177="","",COUNTIFS($B$2:B1177,B1177,$D$2:D1177,D1177))</f>
        <v/>
      </c>
    </row>
    <row r="1178">
      <c r="A1178">
        <f>IF(B1178="","",VLOOKUP(B1178,Lists!$A$2:$B$25,2,FALSE)&amp;"-"&amp;D1178&amp;"-"&amp;TEXT(E1178,"000"))</f>
        <v/>
      </c>
      <c r="E1178">
        <f>IF(B1178="","",COUNTIFS($B$2:B1178,B1178,$D$2:D1178,D1178))</f>
        <v/>
      </c>
    </row>
    <row r="1179">
      <c r="A1179">
        <f>IF(B1179="","",VLOOKUP(B1179,Lists!$A$2:$B$25,2,FALSE)&amp;"-"&amp;D1179&amp;"-"&amp;TEXT(E1179,"000"))</f>
        <v/>
      </c>
      <c r="E1179">
        <f>IF(B1179="","",COUNTIFS($B$2:B1179,B1179,$D$2:D1179,D1179))</f>
        <v/>
      </c>
    </row>
    <row r="1180">
      <c r="A1180">
        <f>IF(B1180="","",VLOOKUP(B1180,Lists!$A$2:$B$25,2,FALSE)&amp;"-"&amp;D1180&amp;"-"&amp;TEXT(E1180,"000"))</f>
        <v/>
      </c>
      <c r="E1180">
        <f>IF(B1180="","",COUNTIFS($B$2:B1180,B1180,$D$2:D1180,D1180))</f>
        <v/>
      </c>
    </row>
    <row r="1181">
      <c r="A1181">
        <f>IF(B1181="","",VLOOKUP(B1181,Lists!$A$2:$B$25,2,FALSE)&amp;"-"&amp;D1181&amp;"-"&amp;TEXT(E1181,"000"))</f>
        <v/>
      </c>
      <c r="E1181">
        <f>IF(B1181="","",COUNTIFS($B$2:B1181,B1181,$D$2:D1181,D1181))</f>
        <v/>
      </c>
    </row>
    <row r="1182">
      <c r="A1182">
        <f>IF(B1182="","",VLOOKUP(B1182,Lists!$A$2:$B$25,2,FALSE)&amp;"-"&amp;D1182&amp;"-"&amp;TEXT(E1182,"000"))</f>
        <v/>
      </c>
      <c r="E1182">
        <f>IF(B1182="","",COUNTIFS($B$2:B1182,B1182,$D$2:D1182,D1182))</f>
        <v/>
      </c>
    </row>
    <row r="1183">
      <c r="A1183">
        <f>IF(B1183="","",VLOOKUP(B1183,Lists!$A$2:$B$25,2,FALSE)&amp;"-"&amp;D1183&amp;"-"&amp;TEXT(E1183,"000"))</f>
        <v/>
      </c>
      <c r="E1183">
        <f>IF(B1183="","",COUNTIFS($B$2:B1183,B1183,$D$2:D1183,D1183))</f>
        <v/>
      </c>
    </row>
    <row r="1184">
      <c r="A1184">
        <f>IF(B1184="","",VLOOKUP(B1184,Lists!$A$2:$B$25,2,FALSE)&amp;"-"&amp;D1184&amp;"-"&amp;TEXT(E1184,"000"))</f>
        <v/>
      </c>
      <c r="E1184">
        <f>IF(B1184="","",COUNTIFS($B$2:B1184,B1184,$D$2:D1184,D1184))</f>
        <v/>
      </c>
    </row>
    <row r="1185">
      <c r="A1185">
        <f>IF(B1185="","",VLOOKUP(B1185,Lists!$A$2:$B$25,2,FALSE)&amp;"-"&amp;D1185&amp;"-"&amp;TEXT(E1185,"000"))</f>
        <v/>
      </c>
      <c r="E1185">
        <f>IF(B1185="","",COUNTIFS($B$2:B1185,B1185,$D$2:D1185,D1185))</f>
        <v/>
      </c>
    </row>
    <row r="1186">
      <c r="A1186">
        <f>IF(B1186="","",VLOOKUP(B1186,Lists!$A$2:$B$25,2,FALSE)&amp;"-"&amp;D1186&amp;"-"&amp;TEXT(E1186,"000"))</f>
        <v/>
      </c>
      <c r="E1186">
        <f>IF(B1186="","",COUNTIFS($B$2:B1186,B1186,$D$2:D1186,D1186))</f>
        <v/>
      </c>
    </row>
    <row r="1187">
      <c r="A1187">
        <f>IF(B1187="","",VLOOKUP(B1187,Lists!$A$2:$B$25,2,FALSE)&amp;"-"&amp;D1187&amp;"-"&amp;TEXT(E1187,"000"))</f>
        <v/>
      </c>
      <c r="E1187">
        <f>IF(B1187="","",COUNTIFS($B$2:B1187,B1187,$D$2:D1187,D1187))</f>
        <v/>
      </c>
    </row>
    <row r="1188">
      <c r="A1188">
        <f>IF(B1188="","",VLOOKUP(B1188,Lists!$A$2:$B$25,2,FALSE)&amp;"-"&amp;D1188&amp;"-"&amp;TEXT(E1188,"000"))</f>
        <v/>
      </c>
      <c r="E1188">
        <f>IF(B1188="","",COUNTIFS($B$2:B1188,B1188,$D$2:D1188,D1188))</f>
        <v/>
      </c>
    </row>
    <row r="1189">
      <c r="A1189">
        <f>IF(B1189="","",VLOOKUP(B1189,Lists!$A$2:$B$25,2,FALSE)&amp;"-"&amp;D1189&amp;"-"&amp;TEXT(E1189,"000"))</f>
        <v/>
      </c>
      <c r="E1189">
        <f>IF(B1189="","",COUNTIFS($B$2:B1189,B1189,$D$2:D1189,D1189))</f>
        <v/>
      </c>
    </row>
    <row r="1190">
      <c r="A1190">
        <f>IF(B1190="","",VLOOKUP(B1190,Lists!$A$2:$B$25,2,FALSE)&amp;"-"&amp;D1190&amp;"-"&amp;TEXT(E1190,"000"))</f>
        <v/>
      </c>
      <c r="E1190">
        <f>IF(B1190="","",COUNTIFS($B$2:B1190,B1190,$D$2:D1190,D1190))</f>
        <v/>
      </c>
    </row>
    <row r="1191">
      <c r="A1191">
        <f>IF(B1191="","",VLOOKUP(B1191,Lists!$A$2:$B$25,2,FALSE)&amp;"-"&amp;D1191&amp;"-"&amp;TEXT(E1191,"000"))</f>
        <v/>
      </c>
      <c r="E1191">
        <f>IF(B1191="","",COUNTIFS($B$2:B1191,B1191,$D$2:D1191,D1191))</f>
        <v/>
      </c>
    </row>
    <row r="1192">
      <c r="A1192">
        <f>IF(B1192="","",VLOOKUP(B1192,Lists!$A$2:$B$25,2,FALSE)&amp;"-"&amp;D1192&amp;"-"&amp;TEXT(E1192,"000"))</f>
        <v/>
      </c>
      <c r="E1192">
        <f>IF(B1192="","",COUNTIFS($B$2:B1192,B1192,$D$2:D1192,D1192))</f>
        <v/>
      </c>
    </row>
    <row r="1193">
      <c r="A1193">
        <f>IF(B1193="","",VLOOKUP(B1193,Lists!$A$2:$B$25,2,FALSE)&amp;"-"&amp;D1193&amp;"-"&amp;TEXT(E1193,"000"))</f>
        <v/>
      </c>
      <c r="E1193">
        <f>IF(B1193="","",COUNTIFS($B$2:B1193,B1193,$D$2:D1193,D1193))</f>
        <v/>
      </c>
    </row>
    <row r="1194">
      <c r="A1194">
        <f>IF(B1194="","",VLOOKUP(B1194,Lists!$A$2:$B$25,2,FALSE)&amp;"-"&amp;D1194&amp;"-"&amp;TEXT(E1194,"000"))</f>
        <v/>
      </c>
      <c r="E1194">
        <f>IF(B1194="","",COUNTIFS($B$2:B1194,B1194,$D$2:D1194,D1194))</f>
        <v/>
      </c>
    </row>
    <row r="1195">
      <c r="A1195">
        <f>IF(B1195="","",VLOOKUP(B1195,Lists!$A$2:$B$25,2,FALSE)&amp;"-"&amp;D1195&amp;"-"&amp;TEXT(E1195,"000"))</f>
        <v/>
      </c>
      <c r="E1195">
        <f>IF(B1195="","",COUNTIFS($B$2:B1195,B1195,$D$2:D1195,D1195))</f>
        <v/>
      </c>
    </row>
    <row r="1196">
      <c r="A1196">
        <f>IF(B1196="","",VLOOKUP(B1196,Lists!$A$2:$B$25,2,FALSE)&amp;"-"&amp;D1196&amp;"-"&amp;TEXT(E1196,"000"))</f>
        <v/>
      </c>
      <c r="E1196">
        <f>IF(B1196="","",COUNTIFS($B$2:B1196,B1196,$D$2:D1196,D1196))</f>
        <v/>
      </c>
    </row>
    <row r="1197">
      <c r="A1197">
        <f>IF(B1197="","",VLOOKUP(B1197,Lists!$A$2:$B$25,2,FALSE)&amp;"-"&amp;D1197&amp;"-"&amp;TEXT(E1197,"000"))</f>
        <v/>
      </c>
      <c r="E1197">
        <f>IF(B1197="","",COUNTIFS($B$2:B1197,B1197,$D$2:D1197,D1197))</f>
        <v/>
      </c>
    </row>
    <row r="1198">
      <c r="A1198">
        <f>IF(B1198="","",VLOOKUP(B1198,Lists!$A$2:$B$25,2,FALSE)&amp;"-"&amp;D1198&amp;"-"&amp;TEXT(E1198,"000"))</f>
        <v/>
      </c>
      <c r="E1198">
        <f>IF(B1198="","",COUNTIFS($B$2:B1198,B1198,$D$2:D1198,D1198))</f>
        <v/>
      </c>
    </row>
    <row r="1199">
      <c r="A1199">
        <f>IF(B1199="","",VLOOKUP(B1199,Lists!$A$2:$B$25,2,FALSE)&amp;"-"&amp;D1199&amp;"-"&amp;TEXT(E1199,"000"))</f>
        <v/>
      </c>
      <c r="E1199">
        <f>IF(B1199="","",COUNTIFS($B$2:B1199,B1199,$D$2:D1199,D1199))</f>
        <v/>
      </c>
    </row>
    <row r="1200">
      <c r="A1200">
        <f>IF(B1200="","",VLOOKUP(B1200,Lists!$A$2:$B$25,2,FALSE)&amp;"-"&amp;D1200&amp;"-"&amp;TEXT(E1200,"000"))</f>
        <v/>
      </c>
      <c r="E1200">
        <f>IF(B1200="","",COUNTIFS($B$2:B1200,B1200,$D$2:D1200,D1200))</f>
        <v/>
      </c>
    </row>
    <row r="1201">
      <c r="A1201">
        <f>IF(B1201="","",VLOOKUP(B1201,Lists!$A$2:$B$25,2,FALSE)&amp;"-"&amp;D1201&amp;"-"&amp;TEXT(E1201,"000"))</f>
        <v/>
      </c>
      <c r="E1201">
        <f>IF(B1201="","",COUNTIFS($B$2:B1201,B1201,$D$2:D1201,D1201))</f>
        <v/>
      </c>
    </row>
    <row r="1202">
      <c r="A1202">
        <f>IF(B1202="","",VLOOKUP(B1202,Lists!$A$2:$B$25,2,FALSE)&amp;"-"&amp;D1202&amp;"-"&amp;TEXT(E1202,"000"))</f>
        <v/>
      </c>
      <c r="E1202">
        <f>IF(B1202="","",COUNTIFS($B$2:B1202,B1202,$D$2:D1202,D1202))</f>
        <v/>
      </c>
    </row>
    <row r="1203">
      <c r="A1203">
        <f>IF(B1203="","",VLOOKUP(B1203,Lists!$A$2:$B$25,2,FALSE)&amp;"-"&amp;D1203&amp;"-"&amp;TEXT(E1203,"000"))</f>
        <v/>
      </c>
      <c r="E1203">
        <f>IF(B1203="","",COUNTIFS($B$2:B1203,B1203,$D$2:D1203,D1203))</f>
        <v/>
      </c>
    </row>
    <row r="1204">
      <c r="A1204">
        <f>IF(B1204="","",VLOOKUP(B1204,Lists!$A$2:$B$25,2,FALSE)&amp;"-"&amp;D1204&amp;"-"&amp;TEXT(E1204,"000"))</f>
        <v/>
      </c>
      <c r="E1204">
        <f>IF(B1204="","",COUNTIFS($B$2:B1204,B1204,$D$2:D1204,D1204))</f>
        <v/>
      </c>
    </row>
    <row r="1205">
      <c r="A1205">
        <f>IF(B1205="","",VLOOKUP(B1205,Lists!$A$2:$B$25,2,FALSE)&amp;"-"&amp;D1205&amp;"-"&amp;TEXT(E1205,"000"))</f>
        <v/>
      </c>
      <c r="E1205">
        <f>IF(B1205="","",COUNTIFS($B$2:B1205,B1205,$D$2:D1205,D1205))</f>
        <v/>
      </c>
    </row>
    <row r="1206">
      <c r="A1206">
        <f>IF(B1206="","",VLOOKUP(B1206,Lists!$A$2:$B$25,2,FALSE)&amp;"-"&amp;D1206&amp;"-"&amp;TEXT(E1206,"000"))</f>
        <v/>
      </c>
      <c r="E1206">
        <f>IF(B1206="","",COUNTIFS($B$2:B1206,B1206,$D$2:D1206,D1206))</f>
        <v/>
      </c>
    </row>
    <row r="1207">
      <c r="A1207">
        <f>IF(B1207="","",VLOOKUP(B1207,Lists!$A$2:$B$25,2,FALSE)&amp;"-"&amp;D1207&amp;"-"&amp;TEXT(E1207,"000"))</f>
        <v/>
      </c>
      <c r="E1207">
        <f>IF(B1207="","",COUNTIFS($B$2:B1207,B1207,$D$2:D1207,D1207))</f>
        <v/>
      </c>
    </row>
    <row r="1208">
      <c r="A1208">
        <f>IF(B1208="","",VLOOKUP(B1208,Lists!$A$2:$B$25,2,FALSE)&amp;"-"&amp;D1208&amp;"-"&amp;TEXT(E1208,"000"))</f>
        <v/>
      </c>
      <c r="E1208">
        <f>IF(B1208="","",COUNTIFS($B$2:B1208,B1208,$D$2:D1208,D1208))</f>
        <v/>
      </c>
    </row>
    <row r="1209">
      <c r="A1209">
        <f>IF(B1209="","",VLOOKUP(B1209,Lists!$A$2:$B$25,2,FALSE)&amp;"-"&amp;D1209&amp;"-"&amp;TEXT(E1209,"000"))</f>
        <v/>
      </c>
      <c r="E1209">
        <f>IF(B1209="","",COUNTIFS($B$2:B1209,B1209,$D$2:D1209,D1209))</f>
        <v/>
      </c>
    </row>
    <row r="1210">
      <c r="A1210">
        <f>IF(B1210="","",VLOOKUP(B1210,Lists!$A$2:$B$25,2,FALSE)&amp;"-"&amp;D1210&amp;"-"&amp;TEXT(E1210,"000"))</f>
        <v/>
      </c>
      <c r="E1210">
        <f>IF(B1210="","",COUNTIFS($B$2:B1210,B1210,$D$2:D1210,D1210))</f>
        <v/>
      </c>
    </row>
    <row r="1211">
      <c r="A1211">
        <f>IF(B1211="","",VLOOKUP(B1211,Lists!$A$2:$B$25,2,FALSE)&amp;"-"&amp;D1211&amp;"-"&amp;TEXT(E1211,"000"))</f>
        <v/>
      </c>
      <c r="E1211">
        <f>IF(B1211="","",COUNTIFS($B$2:B1211,B1211,$D$2:D1211,D1211))</f>
        <v/>
      </c>
    </row>
    <row r="1212">
      <c r="A1212">
        <f>IF(B1212="","",VLOOKUP(B1212,Lists!$A$2:$B$25,2,FALSE)&amp;"-"&amp;D1212&amp;"-"&amp;TEXT(E1212,"000"))</f>
        <v/>
      </c>
      <c r="E1212">
        <f>IF(B1212="","",COUNTIFS($B$2:B1212,B1212,$D$2:D1212,D1212))</f>
        <v/>
      </c>
    </row>
    <row r="1213">
      <c r="A1213">
        <f>IF(B1213="","",VLOOKUP(B1213,Lists!$A$2:$B$25,2,FALSE)&amp;"-"&amp;D1213&amp;"-"&amp;TEXT(E1213,"000"))</f>
        <v/>
      </c>
      <c r="E1213">
        <f>IF(B1213="","",COUNTIFS($B$2:B1213,B1213,$D$2:D1213,D1213))</f>
        <v/>
      </c>
    </row>
    <row r="1214">
      <c r="A1214">
        <f>IF(B1214="","",VLOOKUP(B1214,Lists!$A$2:$B$25,2,FALSE)&amp;"-"&amp;D1214&amp;"-"&amp;TEXT(E1214,"000"))</f>
        <v/>
      </c>
      <c r="E1214">
        <f>IF(B1214="","",COUNTIFS($B$2:B1214,B1214,$D$2:D1214,D1214))</f>
        <v/>
      </c>
    </row>
    <row r="1215">
      <c r="A1215">
        <f>IF(B1215="","",VLOOKUP(B1215,Lists!$A$2:$B$25,2,FALSE)&amp;"-"&amp;D1215&amp;"-"&amp;TEXT(E1215,"000"))</f>
        <v/>
      </c>
      <c r="E1215">
        <f>IF(B1215="","",COUNTIFS($B$2:B1215,B1215,$D$2:D1215,D1215))</f>
        <v/>
      </c>
    </row>
    <row r="1216">
      <c r="A1216">
        <f>IF(B1216="","",VLOOKUP(B1216,Lists!$A$2:$B$25,2,FALSE)&amp;"-"&amp;D1216&amp;"-"&amp;TEXT(E1216,"000"))</f>
        <v/>
      </c>
      <c r="E1216">
        <f>IF(B1216="","",COUNTIFS($B$2:B1216,B1216,$D$2:D1216,D1216))</f>
        <v/>
      </c>
    </row>
    <row r="1217">
      <c r="A1217">
        <f>IF(B1217="","",VLOOKUP(B1217,Lists!$A$2:$B$25,2,FALSE)&amp;"-"&amp;D1217&amp;"-"&amp;TEXT(E1217,"000"))</f>
        <v/>
      </c>
      <c r="E1217">
        <f>IF(B1217="","",COUNTIFS($B$2:B1217,B1217,$D$2:D1217,D1217))</f>
        <v/>
      </c>
    </row>
    <row r="1218">
      <c r="A1218">
        <f>IF(B1218="","",VLOOKUP(B1218,Lists!$A$2:$B$25,2,FALSE)&amp;"-"&amp;D1218&amp;"-"&amp;TEXT(E1218,"000"))</f>
        <v/>
      </c>
      <c r="E1218">
        <f>IF(B1218="","",COUNTIFS($B$2:B1218,B1218,$D$2:D1218,D1218))</f>
        <v/>
      </c>
    </row>
    <row r="1219">
      <c r="A1219">
        <f>IF(B1219="","",VLOOKUP(B1219,Lists!$A$2:$B$25,2,FALSE)&amp;"-"&amp;D1219&amp;"-"&amp;TEXT(E1219,"000"))</f>
        <v/>
      </c>
      <c r="E1219">
        <f>IF(B1219="","",COUNTIFS($B$2:B1219,B1219,$D$2:D1219,D1219))</f>
        <v/>
      </c>
    </row>
    <row r="1220">
      <c r="A1220">
        <f>IF(B1220="","",VLOOKUP(B1220,Lists!$A$2:$B$25,2,FALSE)&amp;"-"&amp;D1220&amp;"-"&amp;TEXT(E1220,"000"))</f>
        <v/>
      </c>
      <c r="E1220">
        <f>IF(B1220="","",COUNTIFS($B$2:B1220,B1220,$D$2:D1220,D1220))</f>
        <v/>
      </c>
    </row>
    <row r="1221">
      <c r="A1221">
        <f>IF(B1221="","",VLOOKUP(B1221,Lists!$A$2:$B$25,2,FALSE)&amp;"-"&amp;D1221&amp;"-"&amp;TEXT(E1221,"000"))</f>
        <v/>
      </c>
      <c r="E1221">
        <f>IF(B1221="","",COUNTIFS($B$2:B1221,B1221,$D$2:D1221,D1221))</f>
        <v/>
      </c>
    </row>
    <row r="1222">
      <c r="A1222">
        <f>IF(B1222="","",VLOOKUP(B1222,Lists!$A$2:$B$25,2,FALSE)&amp;"-"&amp;D1222&amp;"-"&amp;TEXT(E1222,"000"))</f>
        <v/>
      </c>
      <c r="E1222">
        <f>IF(B1222="","",COUNTIFS($B$2:B1222,B1222,$D$2:D1222,D1222))</f>
        <v/>
      </c>
    </row>
    <row r="1223">
      <c r="A1223">
        <f>IF(B1223="","",VLOOKUP(B1223,Lists!$A$2:$B$25,2,FALSE)&amp;"-"&amp;D1223&amp;"-"&amp;TEXT(E1223,"000"))</f>
        <v/>
      </c>
      <c r="E1223">
        <f>IF(B1223="","",COUNTIFS($B$2:B1223,B1223,$D$2:D1223,D1223))</f>
        <v/>
      </c>
    </row>
    <row r="1224">
      <c r="A1224">
        <f>IF(B1224="","",VLOOKUP(B1224,Lists!$A$2:$B$25,2,FALSE)&amp;"-"&amp;D1224&amp;"-"&amp;TEXT(E1224,"000"))</f>
        <v/>
      </c>
      <c r="E1224">
        <f>IF(B1224="","",COUNTIFS($B$2:B1224,B1224,$D$2:D1224,D1224))</f>
        <v/>
      </c>
    </row>
    <row r="1225">
      <c r="A1225">
        <f>IF(B1225="","",VLOOKUP(B1225,Lists!$A$2:$B$25,2,FALSE)&amp;"-"&amp;D1225&amp;"-"&amp;TEXT(E1225,"000"))</f>
        <v/>
      </c>
      <c r="E1225">
        <f>IF(B1225="","",COUNTIFS($B$2:B1225,B1225,$D$2:D1225,D1225))</f>
        <v/>
      </c>
    </row>
    <row r="1226">
      <c r="A1226">
        <f>IF(B1226="","",VLOOKUP(B1226,Lists!$A$2:$B$25,2,FALSE)&amp;"-"&amp;D1226&amp;"-"&amp;TEXT(E1226,"000"))</f>
        <v/>
      </c>
      <c r="E1226">
        <f>IF(B1226="","",COUNTIFS($B$2:B1226,B1226,$D$2:D1226,D1226))</f>
        <v/>
      </c>
    </row>
    <row r="1227">
      <c r="A1227">
        <f>IF(B1227="","",VLOOKUP(B1227,Lists!$A$2:$B$25,2,FALSE)&amp;"-"&amp;D1227&amp;"-"&amp;TEXT(E1227,"000"))</f>
        <v/>
      </c>
      <c r="E1227">
        <f>IF(B1227="","",COUNTIFS($B$2:B1227,B1227,$D$2:D1227,D1227))</f>
        <v/>
      </c>
    </row>
    <row r="1228">
      <c r="A1228">
        <f>IF(B1228="","",VLOOKUP(B1228,Lists!$A$2:$B$25,2,FALSE)&amp;"-"&amp;D1228&amp;"-"&amp;TEXT(E1228,"000"))</f>
        <v/>
      </c>
      <c r="E1228">
        <f>IF(B1228="","",COUNTIFS($B$2:B1228,B1228,$D$2:D1228,D1228))</f>
        <v/>
      </c>
    </row>
    <row r="1229">
      <c r="A1229">
        <f>IF(B1229="","",VLOOKUP(B1229,Lists!$A$2:$B$25,2,FALSE)&amp;"-"&amp;D1229&amp;"-"&amp;TEXT(E1229,"000"))</f>
        <v/>
      </c>
      <c r="E1229">
        <f>IF(B1229="","",COUNTIFS($B$2:B1229,B1229,$D$2:D1229,D1229))</f>
        <v/>
      </c>
    </row>
    <row r="1230">
      <c r="A1230">
        <f>IF(B1230="","",VLOOKUP(B1230,Lists!$A$2:$B$25,2,FALSE)&amp;"-"&amp;D1230&amp;"-"&amp;TEXT(E1230,"000"))</f>
        <v/>
      </c>
      <c r="E1230">
        <f>IF(B1230="","",COUNTIFS($B$2:B1230,B1230,$D$2:D1230,D1230))</f>
        <v/>
      </c>
    </row>
    <row r="1231">
      <c r="A1231">
        <f>IF(B1231="","",VLOOKUP(B1231,Lists!$A$2:$B$25,2,FALSE)&amp;"-"&amp;D1231&amp;"-"&amp;TEXT(E1231,"000"))</f>
        <v/>
      </c>
      <c r="E1231">
        <f>IF(B1231="","",COUNTIFS($B$2:B1231,B1231,$D$2:D1231,D1231))</f>
        <v/>
      </c>
    </row>
    <row r="1232">
      <c r="A1232">
        <f>IF(B1232="","",VLOOKUP(B1232,Lists!$A$2:$B$25,2,FALSE)&amp;"-"&amp;D1232&amp;"-"&amp;TEXT(E1232,"000"))</f>
        <v/>
      </c>
      <c r="E1232">
        <f>IF(B1232="","",COUNTIFS($B$2:B1232,B1232,$D$2:D1232,D1232))</f>
        <v/>
      </c>
    </row>
    <row r="1233">
      <c r="A1233">
        <f>IF(B1233="","",VLOOKUP(B1233,Lists!$A$2:$B$25,2,FALSE)&amp;"-"&amp;D1233&amp;"-"&amp;TEXT(E1233,"000"))</f>
        <v/>
      </c>
      <c r="E1233">
        <f>IF(B1233="","",COUNTIFS($B$2:B1233,B1233,$D$2:D1233,D1233))</f>
        <v/>
      </c>
    </row>
    <row r="1234">
      <c r="A1234">
        <f>IF(B1234="","",VLOOKUP(B1234,Lists!$A$2:$B$25,2,FALSE)&amp;"-"&amp;D1234&amp;"-"&amp;TEXT(E1234,"000"))</f>
        <v/>
      </c>
      <c r="E1234">
        <f>IF(B1234="","",COUNTIFS($B$2:B1234,B1234,$D$2:D1234,D1234))</f>
        <v/>
      </c>
    </row>
    <row r="1235">
      <c r="A1235">
        <f>IF(B1235="","",VLOOKUP(B1235,Lists!$A$2:$B$25,2,FALSE)&amp;"-"&amp;D1235&amp;"-"&amp;TEXT(E1235,"000"))</f>
        <v/>
      </c>
      <c r="E1235">
        <f>IF(B1235="","",COUNTIFS($B$2:B1235,B1235,$D$2:D1235,D1235))</f>
        <v/>
      </c>
    </row>
    <row r="1236">
      <c r="A1236">
        <f>IF(B1236="","",VLOOKUP(B1236,Lists!$A$2:$B$25,2,FALSE)&amp;"-"&amp;D1236&amp;"-"&amp;TEXT(E1236,"000"))</f>
        <v/>
      </c>
      <c r="E1236">
        <f>IF(B1236="","",COUNTIFS($B$2:B1236,B1236,$D$2:D1236,D1236))</f>
        <v/>
      </c>
    </row>
    <row r="1237">
      <c r="A1237">
        <f>IF(B1237="","",VLOOKUP(B1237,Lists!$A$2:$B$25,2,FALSE)&amp;"-"&amp;D1237&amp;"-"&amp;TEXT(E1237,"000"))</f>
        <v/>
      </c>
      <c r="E1237">
        <f>IF(B1237="","",COUNTIFS($B$2:B1237,B1237,$D$2:D1237,D1237))</f>
        <v/>
      </c>
    </row>
    <row r="1238">
      <c r="A1238">
        <f>IF(B1238="","",VLOOKUP(B1238,Lists!$A$2:$B$25,2,FALSE)&amp;"-"&amp;D1238&amp;"-"&amp;TEXT(E1238,"000"))</f>
        <v/>
      </c>
      <c r="E1238">
        <f>IF(B1238="","",COUNTIFS($B$2:B1238,B1238,$D$2:D1238,D1238))</f>
        <v/>
      </c>
    </row>
    <row r="1239">
      <c r="A1239">
        <f>IF(B1239="","",VLOOKUP(B1239,Lists!$A$2:$B$25,2,FALSE)&amp;"-"&amp;D1239&amp;"-"&amp;TEXT(E1239,"000"))</f>
        <v/>
      </c>
      <c r="E1239">
        <f>IF(B1239="","",COUNTIFS($B$2:B1239,B1239,$D$2:D1239,D1239))</f>
        <v/>
      </c>
    </row>
    <row r="1240">
      <c r="A1240">
        <f>IF(B1240="","",VLOOKUP(B1240,Lists!$A$2:$B$25,2,FALSE)&amp;"-"&amp;D1240&amp;"-"&amp;TEXT(E1240,"000"))</f>
        <v/>
      </c>
      <c r="E1240">
        <f>IF(B1240="","",COUNTIFS($B$2:B1240,B1240,$D$2:D1240,D1240))</f>
        <v/>
      </c>
    </row>
    <row r="1241">
      <c r="A1241">
        <f>IF(B1241="","",VLOOKUP(B1241,Lists!$A$2:$B$25,2,FALSE)&amp;"-"&amp;D1241&amp;"-"&amp;TEXT(E1241,"000"))</f>
        <v/>
      </c>
      <c r="E1241">
        <f>IF(B1241="","",COUNTIFS($B$2:B1241,B1241,$D$2:D1241,D1241))</f>
        <v/>
      </c>
    </row>
    <row r="1242">
      <c r="A1242">
        <f>IF(B1242="","",VLOOKUP(B1242,Lists!$A$2:$B$25,2,FALSE)&amp;"-"&amp;D1242&amp;"-"&amp;TEXT(E1242,"000"))</f>
        <v/>
      </c>
      <c r="E1242">
        <f>IF(B1242="","",COUNTIFS($B$2:B1242,B1242,$D$2:D1242,D1242))</f>
        <v/>
      </c>
    </row>
    <row r="1243">
      <c r="A1243">
        <f>IF(B1243="","",VLOOKUP(B1243,Lists!$A$2:$B$25,2,FALSE)&amp;"-"&amp;D1243&amp;"-"&amp;TEXT(E1243,"000"))</f>
        <v/>
      </c>
      <c r="E1243">
        <f>IF(B1243="","",COUNTIFS($B$2:B1243,B1243,$D$2:D1243,D1243))</f>
        <v/>
      </c>
    </row>
    <row r="1244">
      <c r="A1244">
        <f>IF(B1244="","",VLOOKUP(B1244,Lists!$A$2:$B$25,2,FALSE)&amp;"-"&amp;D1244&amp;"-"&amp;TEXT(E1244,"000"))</f>
        <v/>
      </c>
      <c r="E1244">
        <f>IF(B1244="","",COUNTIFS($B$2:B1244,B1244,$D$2:D1244,D1244))</f>
        <v/>
      </c>
    </row>
    <row r="1245">
      <c r="A1245">
        <f>IF(B1245="","",VLOOKUP(B1245,Lists!$A$2:$B$25,2,FALSE)&amp;"-"&amp;D1245&amp;"-"&amp;TEXT(E1245,"000"))</f>
        <v/>
      </c>
      <c r="E1245">
        <f>IF(B1245="","",COUNTIFS($B$2:B1245,B1245,$D$2:D1245,D1245))</f>
        <v/>
      </c>
    </row>
    <row r="1246">
      <c r="A1246">
        <f>IF(B1246="","",VLOOKUP(B1246,Lists!$A$2:$B$25,2,FALSE)&amp;"-"&amp;D1246&amp;"-"&amp;TEXT(E1246,"000"))</f>
        <v/>
      </c>
      <c r="E1246">
        <f>IF(B1246="","",COUNTIFS($B$2:B1246,B1246,$D$2:D1246,D1246))</f>
        <v/>
      </c>
    </row>
    <row r="1247">
      <c r="A1247">
        <f>IF(B1247="","",VLOOKUP(B1247,Lists!$A$2:$B$25,2,FALSE)&amp;"-"&amp;D1247&amp;"-"&amp;TEXT(E1247,"000"))</f>
        <v/>
      </c>
      <c r="E1247">
        <f>IF(B1247="","",COUNTIFS($B$2:B1247,B1247,$D$2:D1247,D1247))</f>
        <v/>
      </c>
    </row>
    <row r="1248">
      <c r="A1248">
        <f>IF(B1248="","",VLOOKUP(B1248,Lists!$A$2:$B$25,2,FALSE)&amp;"-"&amp;D1248&amp;"-"&amp;TEXT(E1248,"000"))</f>
        <v/>
      </c>
      <c r="E1248">
        <f>IF(B1248="","",COUNTIFS($B$2:B1248,B1248,$D$2:D1248,D1248))</f>
        <v/>
      </c>
    </row>
    <row r="1249">
      <c r="A1249">
        <f>IF(B1249="","",VLOOKUP(B1249,Lists!$A$2:$B$25,2,FALSE)&amp;"-"&amp;D1249&amp;"-"&amp;TEXT(E1249,"000"))</f>
        <v/>
      </c>
      <c r="E1249">
        <f>IF(B1249="","",COUNTIFS($B$2:B1249,B1249,$D$2:D1249,D1249))</f>
        <v/>
      </c>
    </row>
    <row r="1250">
      <c r="A1250">
        <f>IF(B1250="","",VLOOKUP(B1250,Lists!$A$2:$B$25,2,FALSE)&amp;"-"&amp;D1250&amp;"-"&amp;TEXT(E1250,"000"))</f>
        <v/>
      </c>
      <c r="E1250">
        <f>IF(B1250="","",COUNTIFS($B$2:B1250,B1250,$D$2:D1250,D1250))</f>
        <v/>
      </c>
    </row>
    <row r="1251">
      <c r="A1251">
        <f>IF(B1251="","",VLOOKUP(B1251,Lists!$A$2:$B$25,2,FALSE)&amp;"-"&amp;D1251&amp;"-"&amp;TEXT(E1251,"000"))</f>
        <v/>
      </c>
      <c r="E1251">
        <f>IF(B1251="","",COUNTIFS($B$2:B1251,B1251,$D$2:D1251,D1251))</f>
        <v/>
      </c>
    </row>
    <row r="1252">
      <c r="A1252">
        <f>IF(B1252="","",VLOOKUP(B1252,Lists!$A$2:$B$25,2,FALSE)&amp;"-"&amp;D1252&amp;"-"&amp;TEXT(E1252,"000"))</f>
        <v/>
      </c>
      <c r="E1252">
        <f>IF(B1252="","",COUNTIFS($B$2:B1252,B1252,$D$2:D1252,D1252))</f>
        <v/>
      </c>
    </row>
    <row r="1253">
      <c r="A1253">
        <f>IF(B1253="","",VLOOKUP(B1253,Lists!$A$2:$B$25,2,FALSE)&amp;"-"&amp;D1253&amp;"-"&amp;TEXT(E1253,"000"))</f>
        <v/>
      </c>
      <c r="E1253">
        <f>IF(B1253="","",COUNTIFS($B$2:B1253,B1253,$D$2:D1253,D1253))</f>
        <v/>
      </c>
    </row>
    <row r="1254">
      <c r="A1254">
        <f>IF(B1254="","",VLOOKUP(B1254,Lists!$A$2:$B$25,2,FALSE)&amp;"-"&amp;D1254&amp;"-"&amp;TEXT(E1254,"000"))</f>
        <v/>
      </c>
      <c r="E1254">
        <f>IF(B1254="","",COUNTIFS($B$2:B1254,B1254,$D$2:D1254,D1254))</f>
        <v/>
      </c>
    </row>
    <row r="1255">
      <c r="A1255">
        <f>IF(B1255="","",VLOOKUP(B1255,Lists!$A$2:$B$25,2,FALSE)&amp;"-"&amp;D1255&amp;"-"&amp;TEXT(E1255,"000"))</f>
        <v/>
      </c>
      <c r="E1255">
        <f>IF(B1255="","",COUNTIFS($B$2:B1255,B1255,$D$2:D1255,D1255))</f>
        <v/>
      </c>
    </row>
    <row r="1256">
      <c r="A1256">
        <f>IF(B1256="","",VLOOKUP(B1256,Lists!$A$2:$B$25,2,FALSE)&amp;"-"&amp;D1256&amp;"-"&amp;TEXT(E1256,"000"))</f>
        <v/>
      </c>
      <c r="E1256">
        <f>IF(B1256="","",COUNTIFS($B$2:B1256,B1256,$D$2:D1256,D1256))</f>
        <v/>
      </c>
    </row>
    <row r="1257">
      <c r="A1257">
        <f>IF(B1257="","",VLOOKUP(B1257,Lists!$A$2:$B$25,2,FALSE)&amp;"-"&amp;D1257&amp;"-"&amp;TEXT(E1257,"000"))</f>
        <v/>
      </c>
      <c r="E1257">
        <f>IF(B1257="","",COUNTIFS($B$2:B1257,B1257,$D$2:D1257,D1257))</f>
        <v/>
      </c>
    </row>
    <row r="1258">
      <c r="A1258">
        <f>IF(B1258="","",VLOOKUP(B1258,Lists!$A$2:$B$25,2,FALSE)&amp;"-"&amp;D1258&amp;"-"&amp;TEXT(E1258,"000"))</f>
        <v/>
      </c>
      <c r="E1258">
        <f>IF(B1258="","",COUNTIFS($B$2:B1258,B1258,$D$2:D1258,D1258))</f>
        <v/>
      </c>
    </row>
    <row r="1259">
      <c r="A1259">
        <f>IF(B1259="","",VLOOKUP(B1259,Lists!$A$2:$B$25,2,FALSE)&amp;"-"&amp;D1259&amp;"-"&amp;TEXT(E1259,"000"))</f>
        <v/>
      </c>
      <c r="E1259">
        <f>IF(B1259="","",COUNTIFS($B$2:B1259,B1259,$D$2:D1259,D1259))</f>
        <v/>
      </c>
    </row>
    <row r="1260">
      <c r="A1260">
        <f>IF(B1260="","",VLOOKUP(B1260,Lists!$A$2:$B$25,2,FALSE)&amp;"-"&amp;D1260&amp;"-"&amp;TEXT(E1260,"000"))</f>
        <v/>
      </c>
      <c r="E1260">
        <f>IF(B1260="","",COUNTIFS($B$2:B1260,B1260,$D$2:D1260,D1260))</f>
        <v/>
      </c>
    </row>
    <row r="1261">
      <c r="A1261">
        <f>IF(B1261="","",VLOOKUP(B1261,Lists!$A$2:$B$25,2,FALSE)&amp;"-"&amp;D1261&amp;"-"&amp;TEXT(E1261,"000"))</f>
        <v/>
      </c>
      <c r="E1261">
        <f>IF(B1261="","",COUNTIFS($B$2:B1261,B1261,$D$2:D1261,D1261))</f>
        <v/>
      </c>
    </row>
    <row r="1262">
      <c r="A1262">
        <f>IF(B1262="","",VLOOKUP(B1262,Lists!$A$2:$B$25,2,FALSE)&amp;"-"&amp;D1262&amp;"-"&amp;TEXT(E1262,"000"))</f>
        <v/>
      </c>
      <c r="E1262">
        <f>IF(B1262="","",COUNTIFS($B$2:B1262,B1262,$D$2:D1262,D1262))</f>
        <v/>
      </c>
    </row>
    <row r="1263">
      <c r="A1263">
        <f>IF(B1263="","",VLOOKUP(B1263,Lists!$A$2:$B$25,2,FALSE)&amp;"-"&amp;D1263&amp;"-"&amp;TEXT(E1263,"000"))</f>
        <v/>
      </c>
      <c r="E1263">
        <f>IF(B1263="","",COUNTIFS($B$2:B1263,B1263,$D$2:D1263,D1263))</f>
        <v/>
      </c>
    </row>
    <row r="1264">
      <c r="A1264">
        <f>IF(B1264="","",VLOOKUP(B1264,Lists!$A$2:$B$25,2,FALSE)&amp;"-"&amp;D1264&amp;"-"&amp;TEXT(E1264,"000"))</f>
        <v/>
      </c>
      <c r="E1264">
        <f>IF(B1264="","",COUNTIFS($B$2:B1264,B1264,$D$2:D1264,D1264))</f>
        <v/>
      </c>
    </row>
    <row r="1265">
      <c r="A1265">
        <f>IF(B1265="","",VLOOKUP(B1265,Lists!$A$2:$B$25,2,FALSE)&amp;"-"&amp;D1265&amp;"-"&amp;TEXT(E1265,"000"))</f>
        <v/>
      </c>
      <c r="E1265">
        <f>IF(B1265="","",COUNTIFS($B$2:B1265,B1265,$D$2:D1265,D1265))</f>
        <v/>
      </c>
    </row>
    <row r="1266">
      <c r="A1266">
        <f>IF(B1266="","",VLOOKUP(B1266,Lists!$A$2:$B$25,2,FALSE)&amp;"-"&amp;D1266&amp;"-"&amp;TEXT(E1266,"000"))</f>
        <v/>
      </c>
      <c r="E1266">
        <f>IF(B1266="","",COUNTIFS($B$2:B1266,B1266,$D$2:D1266,D1266))</f>
        <v/>
      </c>
    </row>
    <row r="1267">
      <c r="A1267">
        <f>IF(B1267="","",VLOOKUP(B1267,Lists!$A$2:$B$25,2,FALSE)&amp;"-"&amp;D1267&amp;"-"&amp;TEXT(E1267,"000"))</f>
        <v/>
      </c>
      <c r="E1267">
        <f>IF(B1267="","",COUNTIFS($B$2:B1267,B1267,$D$2:D1267,D1267))</f>
        <v/>
      </c>
    </row>
    <row r="1268">
      <c r="A1268">
        <f>IF(B1268="","",VLOOKUP(B1268,Lists!$A$2:$B$25,2,FALSE)&amp;"-"&amp;D1268&amp;"-"&amp;TEXT(E1268,"000"))</f>
        <v/>
      </c>
      <c r="E1268">
        <f>IF(B1268="","",COUNTIFS($B$2:B1268,B1268,$D$2:D1268,D1268))</f>
        <v/>
      </c>
    </row>
    <row r="1269">
      <c r="A1269">
        <f>IF(B1269="","",VLOOKUP(B1269,Lists!$A$2:$B$25,2,FALSE)&amp;"-"&amp;D1269&amp;"-"&amp;TEXT(E1269,"000"))</f>
        <v/>
      </c>
      <c r="E1269">
        <f>IF(B1269="","",COUNTIFS($B$2:B1269,B1269,$D$2:D1269,D1269))</f>
        <v/>
      </c>
    </row>
    <row r="1270">
      <c r="A1270">
        <f>IF(B1270="","",VLOOKUP(B1270,Lists!$A$2:$B$25,2,FALSE)&amp;"-"&amp;D1270&amp;"-"&amp;TEXT(E1270,"000"))</f>
        <v/>
      </c>
      <c r="E1270">
        <f>IF(B1270="","",COUNTIFS($B$2:B1270,B1270,$D$2:D1270,D1270))</f>
        <v/>
      </c>
    </row>
    <row r="1271">
      <c r="A1271">
        <f>IF(B1271="","",VLOOKUP(B1271,Lists!$A$2:$B$25,2,FALSE)&amp;"-"&amp;D1271&amp;"-"&amp;TEXT(E1271,"000"))</f>
        <v/>
      </c>
      <c r="E1271">
        <f>IF(B1271="","",COUNTIFS($B$2:B1271,B1271,$D$2:D1271,D1271))</f>
        <v/>
      </c>
    </row>
    <row r="1272">
      <c r="A1272">
        <f>IF(B1272="","",VLOOKUP(B1272,Lists!$A$2:$B$25,2,FALSE)&amp;"-"&amp;D1272&amp;"-"&amp;TEXT(E1272,"000"))</f>
        <v/>
      </c>
      <c r="E1272">
        <f>IF(B1272="","",COUNTIFS($B$2:B1272,B1272,$D$2:D1272,D1272))</f>
        <v/>
      </c>
    </row>
    <row r="1273">
      <c r="A1273">
        <f>IF(B1273="","",VLOOKUP(B1273,Lists!$A$2:$B$25,2,FALSE)&amp;"-"&amp;D1273&amp;"-"&amp;TEXT(E1273,"000"))</f>
        <v/>
      </c>
      <c r="E1273">
        <f>IF(B1273="","",COUNTIFS($B$2:B1273,B1273,$D$2:D1273,D1273))</f>
        <v/>
      </c>
    </row>
    <row r="1274">
      <c r="A1274">
        <f>IF(B1274="","",VLOOKUP(B1274,Lists!$A$2:$B$25,2,FALSE)&amp;"-"&amp;D1274&amp;"-"&amp;TEXT(E1274,"000"))</f>
        <v/>
      </c>
      <c r="E1274">
        <f>IF(B1274="","",COUNTIFS($B$2:B1274,B1274,$D$2:D1274,D1274))</f>
        <v/>
      </c>
    </row>
    <row r="1275">
      <c r="A1275">
        <f>IF(B1275="","",VLOOKUP(B1275,Lists!$A$2:$B$25,2,FALSE)&amp;"-"&amp;D1275&amp;"-"&amp;TEXT(E1275,"000"))</f>
        <v/>
      </c>
      <c r="E1275">
        <f>IF(B1275="","",COUNTIFS($B$2:B1275,B1275,$D$2:D1275,D1275))</f>
        <v/>
      </c>
    </row>
    <row r="1276">
      <c r="A1276">
        <f>IF(B1276="","",VLOOKUP(B1276,Lists!$A$2:$B$25,2,FALSE)&amp;"-"&amp;D1276&amp;"-"&amp;TEXT(E1276,"000"))</f>
        <v/>
      </c>
      <c r="E1276">
        <f>IF(B1276="","",COUNTIFS($B$2:B1276,B1276,$D$2:D1276,D1276))</f>
        <v/>
      </c>
    </row>
    <row r="1277">
      <c r="A1277">
        <f>IF(B1277="","",VLOOKUP(B1277,Lists!$A$2:$B$25,2,FALSE)&amp;"-"&amp;D1277&amp;"-"&amp;TEXT(E1277,"000"))</f>
        <v/>
      </c>
      <c r="E1277">
        <f>IF(B1277="","",COUNTIFS($B$2:B1277,B1277,$D$2:D1277,D1277))</f>
        <v/>
      </c>
    </row>
    <row r="1278">
      <c r="A1278">
        <f>IF(B1278="","",VLOOKUP(B1278,Lists!$A$2:$B$25,2,FALSE)&amp;"-"&amp;D1278&amp;"-"&amp;TEXT(E1278,"000"))</f>
        <v/>
      </c>
      <c r="E1278">
        <f>IF(B1278="","",COUNTIFS($B$2:B1278,B1278,$D$2:D1278,D1278))</f>
        <v/>
      </c>
    </row>
    <row r="1279">
      <c r="A1279">
        <f>IF(B1279="","",VLOOKUP(B1279,Lists!$A$2:$B$25,2,FALSE)&amp;"-"&amp;D1279&amp;"-"&amp;TEXT(E1279,"000"))</f>
        <v/>
      </c>
      <c r="E1279">
        <f>IF(B1279="","",COUNTIFS($B$2:B1279,B1279,$D$2:D1279,D1279))</f>
        <v/>
      </c>
    </row>
    <row r="1280">
      <c r="A1280">
        <f>IF(B1280="","",VLOOKUP(B1280,Lists!$A$2:$B$25,2,FALSE)&amp;"-"&amp;D1280&amp;"-"&amp;TEXT(E1280,"000"))</f>
        <v/>
      </c>
      <c r="E1280">
        <f>IF(B1280="","",COUNTIFS($B$2:B1280,B1280,$D$2:D1280,D1280))</f>
        <v/>
      </c>
    </row>
    <row r="1281">
      <c r="A1281">
        <f>IF(B1281="","",VLOOKUP(B1281,Lists!$A$2:$B$25,2,FALSE)&amp;"-"&amp;D1281&amp;"-"&amp;TEXT(E1281,"000"))</f>
        <v/>
      </c>
      <c r="E1281">
        <f>IF(B1281="","",COUNTIFS($B$2:B1281,B1281,$D$2:D1281,D1281))</f>
        <v/>
      </c>
    </row>
    <row r="1282">
      <c r="A1282">
        <f>IF(B1282="","",VLOOKUP(B1282,Lists!$A$2:$B$25,2,FALSE)&amp;"-"&amp;D1282&amp;"-"&amp;TEXT(E1282,"000"))</f>
        <v/>
      </c>
      <c r="E1282">
        <f>IF(B1282="","",COUNTIFS($B$2:B1282,B1282,$D$2:D1282,D1282))</f>
        <v/>
      </c>
    </row>
    <row r="1283">
      <c r="A1283">
        <f>IF(B1283="","",VLOOKUP(B1283,Lists!$A$2:$B$25,2,FALSE)&amp;"-"&amp;D1283&amp;"-"&amp;TEXT(E1283,"000"))</f>
        <v/>
      </c>
      <c r="E1283">
        <f>IF(B1283="","",COUNTIFS($B$2:B1283,B1283,$D$2:D1283,D1283))</f>
        <v/>
      </c>
    </row>
    <row r="1284">
      <c r="A1284">
        <f>IF(B1284="","",VLOOKUP(B1284,Lists!$A$2:$B$25,2,FALSE)&amp;"-"&amp;D1284&amp;"-"&amp;TEXT(E1284,"000"))</f>
        <v/>
      </c>
      <c r="E1284">
        <f>IF(B1284="","",COUNTIFS($B$2:B1284,B1284,$D$2:D1284,D1284))</f>
        <v/>
      </c>
    </row>
    <row r="1285">
      <c r="A1285">
        <f>IF(B1285="","",VLOOKUP(B1285,Lists!$A$2:$B$25,2,FALSE)&amp;"-"&amp;D1285&amp;"-"&amp;TEXT(E1285,"000"))</f>
        <v/>
      </c>
      <c r="E1285">
        <f>IF(B1285="","",COUNTIFS($B$2:B1285,B1285,$D$2:D1285,D1285))</f>
        <v/>
      </c>
    </row>
    <row r="1286">
      <c r="A1286">
        <f>IF(B1286="","",VLOOKUP(B1286,Lists!$A$2:$B$25,2,FALSE)&amp;"-"&amp;D1286&amp;"-"&amp;TEXT(E1286,"000"))</f>
        <v/>
      </c>
      <c r="E1286">
        <f>IF(B1286="","",COUNTIFS($B$2:B1286,B1286,$D$2:D1286,D1286))</f>
        <v/>
      </c>
    </row>
    <row r="1287">
      <c r="A1287">
        <f>IF(B1287="","",VLOOKUP(B1287,Lists!$A$2:$B$25,2,FALSE)&amp;"-"&amp;D1287&amp;"-"&amp;TEXT(E1287,"000"))</f>
        <v/>
      </c>
      <c r="E1287">
        <f>IF(B1287="","",COUNTIFS($B$2:B1287,B1287,$D$2:D1287,D1287))</f>
        <v/>
      </c>
    </row>
    <row r="1288">
      <c r="A1288">
        <f>IF(B1288="","",VLOOKUP(B1288,Lists!$A$2:$B$25,2,FALSE)&amp;"-"&amp;D1288&amp;"-"&amp;TEXT(E1288,"000"))</f>
        <v/>
      </c>
      <c r="E1288">
        <f>IF(B1288="","",COUNTIFS($B$2:B1288,B1288,$D$2:D1288,D1288))</f>
        <v/>
      </c>
    </row>
    <row r="1289">
      <c r="A1289">
        <f>IF(B1289="","",VLOOKUP(B1289,Lists!$A$2:$B$25,2,FALSE)&amp;"-"&amp;D1289&amp;"-"&amp;TEXT(E1289,"000"))</f>
        <v/>
      </c>
      <c r="E1289">
        <f>IF(B1289="","",COUNTIFS($B$2:B1289,B1289,$D$2:D1289,D1289))</f>
        <v/>
      </c>
    </row>
    <row r="1290">
      <c r="A1290">
        <f>IF(B1290="","",VLOOKUP(B1290,Lists!$A$2:$B$25,2,FALSE)&amp;"-"&amp;D1290&amp;"-"&amp;TEXT(E1290,"000"))</f>
        <v/>
      </c>
      <c r="E1290">
        <f>IF(B1290="","",COUNTIFS($B$2:B1290,B1290,$D$2:D1290,D1290))</f>
        <v/>
      </c>
    </row>
    <row r="1291">
      <c r="A1291">
        <f>IF(B1291="","",VLOOKUP(B1291,Lists!$A$2:$B$25,2,FALSE)&amp;"-"&amp;D1291&amp;"-"&amp;TEXT(E1291,"000"))</f>
        <v/>
      </c>
      <c r="E1291">
        <f>IF(B1291="","",COUNTIFS($B$2:B1291,B1291,$D$2:D1291,D1291))</f>
        <v/>
      </c>
    </row>
    <row r="1292">
      <c r="A1292">
        <f>IF(B1292="","",VLOOKUP(B1292,Lists!$A$2:$B$25,2,FALSE)&amp;"-"&amp;D1292&amp;"-"&amp;TEXT(E1292,"000"))</f>
        <v/>
      </c>
      <c r="E1292">
        <f>IF(B1292="","",COUNTIFS($B$2:B1292,B1292,$D$2:D1292,D1292))</f>
        <v/>
      </c>
    </row>
    <row r="1293">
      <c r="A1293">
        <f>IF(B1293="","",VLOOKUP(B1293,Lists!$A$2:$B$25,2,FALSE)&amp;"-"&amp;D1293&amp;"-"&amp;TEXT(E1293,"000"))</f>
        <v/>
      </c>
      <c r="E1293">
        <f>IF(B1293="","",COUNTIFS($B$2:B1293,B1293,$D$2:D1293,D1293))</f>
        <v/>
      </c>
    </row>
    <row r="1294">
      <c r="A1294">
        <f>IF(B1294="","",VLOOKUP(B1294,Lists!$A$2:$B$25,2,FALSE)&amp;"-"&amp;D1294&amp;"-"&amp;TEXT(E1294,"000"))</f>
        <v/>
      </c>
      <c r="E1294">
        <f>IF(B1294="","",COUNTIFS($B$2:B1294,B1294,$D$2:D1294,D1294))</f>
        <v/>
      </c>
    </row>
    <row r="1295">
      <c r="A1295">
        <f>IF(B1295="","",VLOOKUP(B1295,Lists!$A$2:$B$25,2,FALSE)&amp;"-"&amp;D1295&amp;"-"&amp;TEXT(E1295,"000"))</f>
        <v/>
      </c>
      <c r="E1295">
        <f>IF(B1295="","",COUNTIFS($B$2:B1295,B1295,$D$2:D1295,D1295))</f>
        <v/>
      </c>
    </row>
    <row r="1296">
      <c r="A1296">
        <f>IF(B1296="","",VLOOKUP(B1296,Lists!$A$2:$B$25,2,FALSE)&amp;"-"&amp;D1296&amp;"-"&amp;TEXT(E1296,"000"))</f>
        <v/>
      </c>
      <c r="E1296">
        <f>IF(B1296="","",COUNTIFS($B$2:B1296,B1296,$D$2:D1296,D1296))</f>
        <v/>
      </c>
    </row>
    <row r="1297">
      <c r="A1297">
        <f>IF(B1297="","",VLOOKUP(B1297,Lists!$A$2:$B$25,2,FALSE)&amp;"-"&amp;D1297&amp;"-"&amp;TEXT(E1297,"000"))</f>
        <v/>
      </c>
      <c r="E1297">
        <f>IF(B1297="","",COUNTIFS($B$2:B1297,B1297,$D$2:D1297,D1297))</f>
        <v/>
      </c>
    </row>
    <row r="1298">
      <c r="A1298">
        <f>IF(B1298="","",VLOOKUP(B1298,Lists!$A$2:$B$25,2,FALSE)&amp;"-"&amp;D1298&amp;"-"&amp;TEXT(E1298,"000"))</f>
        <v/>
      </c>
      <c r="E1298">
        <f>IF(B1298="","",COUNTIFS($B$2:B1298,B1298,$D$2:D1298,D1298))</f>
        <v/>
      </c>
    </row>
    <row r="1299">
      <c r="A1299">
        <f>IF(B1299="","",VLOOKUP(B1299,Lists!$A$2:$B$25,2,FALSE)&amp;"-"&amp;D1299&amp;"-"&amp;TEXT(E1299,"000"))</f>
        <v/>
      </c>
      <c r="E1299">
        <f>IF(B1299="","",COUNTIFS($B$2:B1299,B1299,$D$2:D1299,D1299))</f>
        <v/>
      </c>
    </row>
    <row r="1300">
      <c r="A1300">
        <f>IF(B1300="","",VLOOKUP(B1300,Lists!$A$2:$B$25,2,FALSE)&amp;"-"&amp;D1300&amp;"-"&amp;TEXT(E1300,"000"))</f>
        <v/>
      </c>
      <c r="E1300">
        <f>IF(B1300="","",COUNTIFS($B$2:B1300,B1300,$D$2:D1300,D1300))</f>
        <v/>
      </c>
    </row>
    <row r="1301">
      <c r="A1301">
        <f>IF(B1301="","",VLOOKUP(B1301,Lists!$A$2:$B$25,2,FALSE)&amp;"-"&amp;D1301&amp;"-"&amp;TEXT(E1301,"000"))</f>
        <v/>
      </c>
      <c r="E1301">
        <f>IF(B1301="","",COUNTIFS($B$2:B1301,B1301,$D$2:D1301,D1301))</f>
        <v/>
      </c>
    </row>
    <row r="1302">
      <c r="A1302">
        <f>IF(B1302="","",VLOOKUP(B1302,Lists!$A$2:$B$25,2,FALSE)&amp;"-"&amp;D1302&amp;"-"&amp;TEXT(E1302,"000"))</f>
        <v/>
      </c>
      <c r="E1302">
        <f>IF(B1302="","",COUNTIFS($B$2:B1302,B1302,$D$2:D1302,D1302))</f>
        <v/>
      </c>
    </row>
    <row r="1303">
      <c r="A1303">
        <f>IF(B1303="","",VLOOKUP(B1303,Lists!$A$2:$B$25,2,FALSE)&amp;"-"&amp;D1303&amp;"-"&amp;TEXT(E1303,"000"))</f>
        <v/>
      </c>
      <c r="E1303">
        <f>IF(B1303="","",COUNTIFS($B$2:B1303,B1303,$D$2:D1303,D1303))</f>
        <v/>
      </c>
    </row>
    <row r="1304">
      <c r="A1304">
        <f>IF(B1304="","",VLOOKUP(B1304,Lists!$A$2:$B$25,2,FALSE)&amp;"-"&amp;D1304&amp;"-"&amp;TEXT(E1304,"000"))</f>
        <v/>
      </c>
      <c r="E1304">
        <f>IF(B1304="","",COUNTIFS($B$2:B1304,B1304,$D$2:D1304,D1304))</f>
        <v/>
      </c>
    </row>
    <row r="1305">
      <c r="A1305">
        <f>IF(B1305="","",VLOOKUP(B1305,Lists!$A$2:$B$25,2,FALSE)&amp;"-"&amp;D1305&amp;"-"&amp;TEXT(E1305,"000"))</f>
        <v/>
      </c>
      <c r="E1305">
        <f>IF(B1305="","",COUNTIFS($B$2:B1305,B1305,$D$2:D1305,D1305))</f>
        <v/>
      </c>
    </row>
    <row r="1306">
      <c r="A1306">
        <f>IF(B1306="","",VLOOKUP(B1306,Lists!$A$2:$B$25,2,FALSE)&amp;"-"&amp;D1306&amp;"-"&amp;TEXT(E1306,"000"))</f>
        <v/>
      </c>
      <c r="E1306">
        <f>IF(B1306="","",COUNTIFS($B$2:B1306,B1306,$D$2:D1306,D1306))</f>
        <v/>
      </c>
    </row>
    <row r="1307">
      <c r="A1307">
        <f>IF(B1307="","",VLOOKUP(B1307,Lists!$A$2:$B$25,2,FALSE)&amp;"-"&amp;D1307&amp;"-"&amp;TEXT(E1307,"000"))</f>
        <v/>
      </c>
      <c r="E1307">
        <f>IF(B1307="","",COUNTIFS($B$2:B1307,B1307,$D$2:D1307,D1307))</f>
        <v/>
      </c>
    </row>
    <row r="1308">
      <c r="A1308">
        <f>IF(B1308="","",VLOOKUP(B1308,Lists!$A$2:$B$25,2,FALSE)&amp;"-"&amp;D1308&amp;"-"&amp;TEXT(E1308,"000"))</f>
        <v/>
      </c>
      <c r="E1308">
        <f>IF(B1308="","",COUNTIFS($B$2:B1308,B1308,$D$2:D1308,D1308))</f>
        <v/>
      </c>
    </row>
    <row r="1309">
      <c r="A1309">
        <f>IF(B1309="","",VLOOKUP(B1309,Lists!$A$2:$B$25,2,FALSE)&amp;"-"&amp;D1309&amp;"-"&amp;TEXT(E1309,"000"))</f>
        <v/>
      </c>
      <c r="E1309">
        <f>IF(B1309="","",COUNTIFS($B$2:B1309,B1309,$D$2:D1309,D1309))</f>
        <v/>
      </c>
    </row>
    <row r="1310">
      <c r="A1310">
        <f>IF(B1310="","",VLOOKUP(B1310,Lists!$A$2:$B$25,2,FALSE)&amp;"-"&amp;D1310&amp;"-"&amp;TEXT(E1310,"000"))</f>
        <v/>
      </c>
      <c r="E1310">
        <f>IF(B1310="","",COUNTIFS($B$2:B1310,B1310,$D$2:D1310,D1310))</f>
        <v/>
      </c>
    </row>
    <row r="1311">
      <c r="A1311">
        <f>IF(B1311="","",VLOOKUP(B1311,Lists!$A$2:$B$25,2,FALSE)&amp;"-"&amp;D1311&amp;"-"&amp;TEXT(E1311,"000"))</f>
        <v/>
      </c>
      <c r="E1311">
        <f>IF(B1311="","",COUNTIFS($B$2:B1311,B1311,$D$2:D1311,D1311))</f>
        <v/>
      </c>
    </row>
    <row r="1312">
      <c r="A1312">
        <f>IF(B1312="","",VLOOKUP(B1312,Lists!$A$2:$B$25,2,FALSE)&amp;"-"&amp;D1312&amp;"-"&amp;TEXT(E1312,"000"))</f>
        <v/>
      </c>
      <c r="E1312">
        <f>IF(B1312="","",COUNTIFS($B$2:B1312,B1312,$D$2:D1312,D1312))</f>
        <v/>
      </c>
    </row>
    <row r="1313">
      <c r="A1313">
        <f>IF(B1313="","",VLOOKUP(B1313,Lists!$A$2:$B$25,2,FALSE)&amp;"-"&amp;D1313&amp;"-"&amp;TEXT(E1313,"000"))</f>
        <v/>
      </c>
      <c r="E1313">
        <f>IF(B1313="","",COUNTIFS($B$2:B1313,B1313,$D$2:D1313,D1313))</f>
        <v/>
      </c>
    </row>
    <row r="1314">
      <c r="A1314">
        <f>IF(B1314="","",VLOOKUP(B1314,Lists!$A$2:$B$25,2,FALSE)&amp;"-"&amp;D1314&amp;"-"&amp;TEXT(E1314,"000"))</f>
        <v/>
      </c>
      <c r="E1314">
        <f>IF(B1314="","",COUNTIFS($B$2:B1314,B1314,$D$2:D1314,D1314))</f>
        <v/>
      </c>
    </row>
    <row r="1315">
      <c r="A1315">
        <f>IF(B1315="","",VLOOKUP(B1315,Lists!$A$2:$B$25,2,FALSE)&amp;"-"&amp;D1315&amp;"-"&amp;TEXT(E1315,"000"))</f>
        <v/>
      </c>
      <c r="E1315">
        <f>IF(B1315="","",COUNTIFS($B$2:B1315,B1315,$D$2:D1315,D1315))</f>
        <v/>
      </c>
    </row>
    <row r="1316">
      <c r="A1316">
        <f>IF(B1316="","",VLOOKUP(B1316,Lists!$A$2:$B$25,2,FALSE)&amp;"-"&amp;D1316&amp;"-"&amp;TEXT(E1316,"000"))</f>
        <v/>
      </c>
      <c r="E1316">
        <f>IF(B1316="","",COUNTIFS($B$2:B1316,B1316,$D$2:D1316,D1316))</f>
        <v/>
      </c>
    </row>
    <row r="1317">
      <c r="A1317">
        <f>IF(B1317="","",VLOOKUP(B1317,Lists!$A$2:$B$25,2,FALSE)&amp;"-"&amp;D1317&amp;"-"&amp;TEXT(E1317,"000"))</f>
        <v/>
      </c>
      <c r="E1317">
        <f>IF(B1317="","",COUNTIFS($B$2:B1317,B1317,$D$2:D1317,D1317))</f>
        <v/>
      </c>
    </row>
    <row r="1318">
      <c r="A1318">
        <f>IF(B1318="","",VLOOKUP(B1318,Lists!$A$2:$B$25,2,FALSE)&amp;"-"&amp;D1318&amp;"-"&amp;TEXT(E1318,"000"))</f>
        <v/>
      </c>
      <c r="E1318">
        <f>IF(B1318="","",COUNTIFS($B$2:B1318,B1318,$D$2:D1318,D1318))</f>
        <v/>
      </c>
    </row>
    <row r="1319">
      <c r="A1319">
        <f>IF(B1319="","",VLOOKUP(B1319,Lists!$A$2:$B$25,2,FALSE)&amp;"-"&amp;D1319&amp;"-"&amp;TEXT(E1319,"000"))</f>
        <v/>
      </c>
      <c r="E1319">
        <f>IF(B1319="","",COUNTIFS($B$2:B1319,B1319,$D$2:D1319,D1319))</f>
        <v/>
      </c>
    </row>
    <row r="1320">
      <c r="A1320">
        <f>IF(B1320="","",VLOOKUP(B1320,Lists!$A$2:$B$25,2,FALSE)&amp;"-"&amp;D1320&amp;"-"&amp;TEXT(E1320,"000"))</f>
        <v/>
      </c>
      <c r="E1320">
        <f>IF(B1320="","",COUNTIFS($B$2:B1320,B1320,$D$2:D1320,D1320))</f>
        <v/>
      </c>
    </row>
    <row r="1321">
      <c r="A1321">
        <f>IF(B1321="","",VLOOKUP(B1321,Lists!$A$2:$B$25,2,FALSE)&amp;"-"&amp;D1321&amp;"-"&amp;TEXT(E1321,"000"))</f>
        <v/>
      </c>
      <c r="E1321">
        <f>IF(B1321="","",COUNTIFS($B$2:B1321,B1321,$D$2:D1321,D1321))</f>
        <v/>
      </c>
    </row>
    <row r="1322">
      <c r="A1322">
        <f>IF(B1322="","",VLOOKUP(B1322,Lists!$A$2:$B$25,2,FALSE)&amp;"-"&amp;D1322&amp;"-"&amp;TEXT(E1322,"000"))</f>
        <v/>
      </c>
      <c r="E1322">
        <f>IF(B1322="","",COUNTIFS($B$2:B1322,B1322,$D$2:D1322,D1322))</f>
        <v/>
      </c>
    </row>
    <row r="1323">
      <c r="A1323">
        <f>IF(B1323="","",VLOOKUP(B1323,Lists!$A$2:$B$25,2,FALSE)&amp;"-"&amp;D1323&amp;"-"&amp;TEXT(E1323,"000"))</f>
        <v/>
      </c>
      <c r="E1323">
        <f>IF(B1323="","",COUNTIFS($B$2:B1323,B1323,$D$2:D1323,D1323))</f>
        <v/>
      </c>
    </row>
    <row r="1324">
      <c r="A1324">
        <f>IF(B1324="","",VLOOKUP(B1324,Lists!$A$2:$B$25,2,FALSE)&amp;"-"&amp;D1324&amp;"-"&amp;TEXT(E1324,"000"))</f>
        <v/>
      </c>
      <c r="E1324">
        <f>IF(B1324="","",COUNTIFS($B$2:B1324,B1324,$D$2:D1324,D1324))</f>
        <v/>
      </c>
    </row>
    <row r="1325">
      <c r="A1325">
        <f>IF(B1325="","",VLOOKUP(B1325,Lists!$A$2:$B$25,2,FALSE)&amp;"-"&amp;D1325&amp;"-"&amp;TEXT(E1325,"000"))</f>
        <v/>
      </c>
      <c r="E1325">
        <f>IF(B1325="","",COUNTIFS($B$2:B1325,B1325,$D$2:D1325,D1325))</f>
        <v/>
      </c>
    </row>
    <row r="1326">
      <c r="A1326">
        <f>IF(B1326="","",VLOOKUP(B1326,Lists!$A$2:$B$25,2,FALSE)&amp;"-"&amp;D1326&amp;"-"&amp;TEXT(E1326,"000"))</f>
        <v/>
      </c>
      <c r="E1326">
        <f>IF(B1326="","",COUNTIFS($B$2:B1326,B1326,$D$2:D1326,D1326))</f>
        <v/>
      </c>
    </row>
    <row r="1327">
      <c r="A1327">
        <f>IF(B1327="","",VLOOKUP(B1327,Lists!$A$2:$B$25,2,FALSE)&amp;"-"&amp;D1327&amp;"-"&amp;TEXT(E1327,"000"))</f>
        <v/>
      </c>
      <c r="E1327">
        <f>IF(B1327="","",COUNTIFS($B$2:B1327,B1327,$D$2:D1327,D1327))</f>
        <v/>
      </c>
    </row>
    <row r="1328">
      <c r="A1328">
        <f>IF(B1328="","",VLOOKUP(B1328,Lists!$A$2:$B$25,2,FALSE)&amp;"-"&amp;D1328&amp;"-"&amp;TEXT(E1328,"000"))</f>
        <v/>
      </c>
      <c r="E1328">
        <f>IF(B1328="","",COUNTIFS($B$2:B1328,B1328,$D$2:D1328,D1328))</f>
        <v/>
      </c>
    </row>
    <row r="1329">
      <c r="A1329">
        <f>IF(B1329="","",VLOOKUP(B1329,Lists!$A$2:$B$25,2,FALSE)&amp;"-"&amp;D1329&amp;"-"&amp;TEXT(E1329,"000"))</f>
        <v/>
      </c>
      <c r="E1329">
        <f>IF(B1329="","",COUNTIFS($B$2:B1329,B1329,$D$2:D1329,D1329))</f>
        <v/>
      </c>
    </row>
    <row r="1330">
      <c r="A1330">
        <f>IF(B1330="","",VLOOKUP(B1330,Lists!$A$2:$B$25,2,FALSE)&amp;"-"&amp;D1330&amp;"-"&amp;TEXT(E1330,"000"))</f>
        <v/>
      </c>
      <c r="E1330">
        <f>IF(B1330="","",COUNTIFS($B$2:B1330,B1330,$D$2:D1330,D1330))</f>
        <v/>
      </c>
    </row>
    <row r="1331">
      <c r="A1331">
        <f>IF(B1331="","",VLOOKUP(B1331,Lists!$A$2:$B$25,2,FALSE)&amp;"-"&amp;D1331&amp;"-"&amp;TEXT(E1331,"000"))</f>
        <v/>
      </c>
      <c r="E1331">
        <f>IF(B1331="","",COUNTIFS($B$2:B1331,B1331,$D$2:D1331,D1331))</f>
        <v/>
      </c>
    </row>
    <row r="1332">
      <c r="A1332">
        <f>IF(B1332="","",VLOOKUP(B1332,Lists!$A$2:$B$25,2,FALSE)&amp;"-"&amp;D1332&amp;"-"&amp;TEXT(E1332,"000"))</f>
        <v/>
      </c>
      <c r="E1332">
        <f>IF(B1332="","",COUNTIFS($B$2:B1332,B1332,$D$2:D1332,D1332))</f>
        <v/>
      </c>
    </row>
    <row r="1333">
      <c r="A1333">
        <f>IF(B1333="","",VLOOKUP(B1333,Lists!$A$2:$B$25,2,FALSE)&amp;"-"&amp;D1333&amp;"-"&amp;TEXT(E1333,"000"))</f>
        <v/>
      </c>
      <c r="E1333">
        <f>IF(B1333="","",COUNTIFS($B$2:B1333,B1333,$D$2:D1333,D1333))</f>
        <v/>
      </c>
    </row>
    <row r="1334">
      <c r="A1334">
        <f>IF(B1334="","",VLOOKUP(B1334,Lists!$A$2:$B$25,2,FALSE)&amp;"-"&amp;D1334&amp;"-"&amp;TEXT(E1334,"000"))</f>
        <v/>
      </c>
      <c r="E1334">
        <f>IF(B1334="","",COUNTIFS($B$2:B1334,B1334,$D$2:D1334,D1334))</f>
        <v/>
      </c>
    </row>
    <row r="1335">
      <c r="A1335">
        <f>IF(B1335="","",VLOOKUP(B1335,Lists!$A$2:$B$25,2,FALSE)&amp;"-"&amp;D1335&amp;"-"&amp;TEXT(E1335,"000"))</f>
        <v/>
      </c>
      <c r="E1335">
        <f>IF(B1335="","",COUNTIFS($B$2:B1335,B1335,$D$2:D1335,D1335))</f>
        <v/>
      </c>
    </row>
    <row r="1336">
      <c r="A1336">
        <f>IF(B1336="","",VLOOKUP(B1336,Lists!$A$2:$B$25,2,FALSE)&amp;"-"&amp;D1336&amp;"-"&amp;TEXT(E1336,"000"))</f>
        <v/>
      </c>
      <c r="E1336">
        <f>IF(B1336="","",COUNTIFS($B$2:B1336,B1336,$D$2:D1336,D1336))</f>
        <v/>
      </c>
    </row>
    <row r="1337">
      <c r="A1337">
        <f>IF(B1337="","",VLOOKUP(B1337,Lists!$A$2:$B$25,2,FALSE)&amp;"-"&amp;D1337&amp;"-"&amp;TEXT(E1337,"000"))</f>
        <v/>
      </c>
      <c r="E1337">
        <f>IF(B1337="","",COUNTIFS($B$2:B1337,B1337,$D$2:D1337,D1337))</f>
        <v/>
      </c>
    </row>
    <row r="1338">
      <c r="A1338">
        <f>IF(B1338="","",VLOOKUP(B1338,Lists!$A$2:$B$25,2,FALSE)&amp;"-"&amp;D1338&amp;"-"&amp;TEXT(E1338,"000"))</f>
        <v/>
      </c>
      <c r="E1338">
        <f>IF(B1338="","",COUNTIFS($B$2:B1338,B1338,$D$2:D1338,D1338))</f>
        <v/>
      </c>
    </row>
    <row r="1339">
      <c r="A1339">
        <f>IF(B1339="","",VLOOKUP(B1339,Lists!$A$2:$B$25,2,FALSE)&amp;"-"&amp;D1339&amp;"-"&amp;TEXT(E1339,"000"))</f>
        <v/>
      </c>
      <c r="E1339">
        <f>IF(B1339="","",COUNTIFS($B$2:B1339,B1339,$D$2:D1339,D1339))</f>
        <v/>
      </c>
    </row>
    <row r="1340">
      <c r="A1340">
        <f>IF(B1340="","",VLOOKUP(B1340,Lists!$A$2:$B$25,2,FALSE)&amp;"-"&amp;D1340&amp;"-"&amp;TEXT(E1340,"000"))</f>
        <v/>
      </c>
      <c r="E1340">
        <f>IF(B1340="","",COUNTIFS($B$2:B1340,B1340,$D$2:D1340,D1340))</f>
        <v/>
      </c>
    </row>
    <row r="1341">
      <c r="A1341">
        <f>IF(B1341="","",VLOOKUP(B1341,Lists!$A$2:$B$25,2,FALSE)&amp;"-"&amp;D1341&amp;"-"&amp;TEXT(E1341,"000"))</f>
        <v/>
      </c>
      <c r="E1341">
        <f>IF(B1341="","",COUNTIFS($B$2:B1341,B1341,$D$2:D1341,D1341))</f>
        <v/>
      </c>
    </row>
    <row r="1342">
      <c r="A1342">
        <f>IF(B1342="","",VLOOKUP(B1342,Lists!$A$2:$B$25,2,FALSE)&amp;"-"&amp;D1342&amp;"-"&amp;TEXT(E1342,"000"))</f>
        <v/>
      </c>
      <c r="E1342">
        <f>IF(B1342="","",COUNTIFS($B$2:B1342,B1342,$D$2:D1342,D1342))</f>
        <v/>
      </c>
    </row>
    <row r="1343">
      <c r="A1343">
        <f>IF(B1343="","",VLOOKUP(B1343,Lists!$A$2:$B$25,2,FALSE)&amp;"-"&amp;D1343&amp;"-"&amp;TEXT(E1343,"000"))</f>
        <v/>
      </c>
      <c r="E1343">
        <f>IF(B1343="","",COUNTIFS($B$2:B1343,B1343,$D$2:D1343,D1343))</f>
        <v/>
      </c>
    </row>
    <row r="1344">
      <c r="A1344">
        <f>IF(B1344="","",VLOOKUP(B1344,Lists!$A$2:$B$25,2,FALSE)&amp;"-"&amp;D1344&amp;"-"&amp;TEXT(E1344,"000"))</f>
        <v/>
      </c>
      <c r="E1344">
        <f>IF(B1344="","",COUNTIFS($B$2:B1344,B1344,$D$2:D1344,D1344))</f>
        <v/>
      </c>
    </row>
    <row r="1345">
      <c r="A1345">
        <f>IF(B1345="","",VLOOKUP(B1345,Lists!$A$2:$B$25,2,FALSE)&amp;"-"&amp;D1345&amp;"-"&amp;TEXT(E1345,"000"))</f>
        <v/>
      </c>
      <c r="E1345">
        <f>IF(B1345="","",COUNTIFS($B$2:B1345,B1345,$D$2:D1345,D1345))</f>
        <v/>
      </c>
    </row>
    <row r="1346">
      <c r="A1346">
        <f>IF(B1346="","",VLOOKUP(B1346,Lists!$A$2:$B$25,2,FALSE)&amp;"-"&amp;D1346&amp;"-"&amp;TEXT(E1346,"000"))</f>
        <v/>
      </c>
      <c r="E1346">
        <f>IF(B1346="","",COUNTIFS($B$2:B1346,B1346,$D$2:D1346,D1346))</f>
        <v/>
      </c>
    </row>
    <row r="1347">
      <c r="A1347">
        <f>IF(B1347="","",VLOOKUP(B1347,Lists!$A$2:$B$25,2,FALSE)&amp;"-"&amp;D1347&amp;"-"&amp;TEXT(E1347,"000"))</f>
        <v/>
      </c>
      <c r="E1347">
        <f>IF(B1347="","",COUNTIFS($B$2:B1347,B1347,$D$2:D1347,D1347))</f>
        <v/>
      </c>
    </row>
    <row r="1348">
      <c r="A1348">
        <f>IF(B1348="","",VLOOKUP(B1348,Lists!$A$2:$B$25,2,FALSE)&amp;"-"&amp;D1348&amp;"-"&amp;TEXT(E1348,"000"))</f>
        <v/>
      </c>
      <c r="E1348">
        <f>IF(B1348="","",COUNTIFS($B$2:B1348,B1348,$D$2:D1348,D1348))</f>
        <v/>
      </c>
    </row>
    <row r="1349">
      <c r="A1349">
        <f>IF(B1349="","",VLOOKUP(B1349,Lists!$A$2:$B$25,2,FALSE)&amp;"-"&amp;D1349&amp;"-"&amp;TEXT(E1349,"000"))</f>
        <v/>
      </c>
      <c r="E1349">
        <f>IF(B1349="","",COUNTIFS($B$2:B1349,B1349,$D$2:D1349,D1349))</f>
        <v/>
      </c>
    </row>
    <row r="1350">
      <c r="A1350">
        <f>IF(B1350="","",VLOOKUP(B1350,Lists!$A$2:$B$25,2,FALSE)&amp;"-"&amp;D1350&amp;"-"&amp;TEXT(E1350,"000"))</f>
        <v/>
      </c>
      <c r="E1350">
        <f>IF(B1350="","",COUNTIFS($B$2:B1350,B1350,$D$2:D1350,D1350))</f>
        <v/>
      </c>
    </row>
    <row r="1351">
      <c r="A1351">
        <f>IF(B1351="","",VLOOKUP(B1351,Lists!$A$2:$B$25,2,FALSE)&amp;"-"&amp;D1351&amp;"-"&amp;TEXT(E1351,"000"))</f>
        <v/>
      </c>
      <c r="E1351">
        <f>IF(B1351="","",COUNTIFS($B$2:B1351,B1351,$D$2:D1351,D1351))</f>
        <v/>
      </c>
    </row>
    <row r="1352">
      <c r="A1352">
        <f>IF(B1352="","",VLOOKUP(B1352,Lists!$A$2:$B$25,2,FALSE)&amp;"-"&amp;D1352&amp;"-"&amp;TEXT(E1352,"000"))</f>
        <v/>
      </c>
      <c r="E1352">
        <f>IF(B1352="","",COUNTIFS($B$2:B1352,B1352,$D$2:D1352,D1352))</f>
        <v/>
      </c>
    </row>
    <row r="1353">
      <c r="A1353">
        <f>IF(B1353="","",VLOOKUP(B1353,Lists!$A$2:$B$25,2,FALSE)&amp;"-"&amp;D1353&amp;"-"&amp;TEXT(E1353,"000"))</f>
        <v/>
      </c>
      <c r="E1353">
        <f>IF(B1353="","",COUNTIFS($B$2:B1353,B1353,$D$2:D1353,D1353))</f>
        <v/>
      </c>
    </row>
    <row r="1354">
      <c r="A1354">
        <f>IF(B1354="","",VLOOKUP(B1354,Lists!$A$2:$B$25,2,FALSE)&amp;"-"&amp;D1354&amp;"-"&amp;TEXT(E1354,"000"))</f>
        <v/>
      </c>
      <c r="E1354">
        <f>IF(B1354="","",COUNTIFS($B$2:B1354,B1354,$D$2:D1354,D1354))</f>
        <v/>
      </c>
    </row>
    <row r="1355">
      <c r="A1355">
        <f>IF(B1355="","",VLOOKUP(B1355,Lists!$A$2:$B$25,2,FALSE)&amp;"-"&amp;D1355&amp;"-"&amp;TEXT(E1355,"000"))</f>
        <v/>
      </c>
      <c r="E1355">
        <f>IF(B1355="","",COUNTIFS($B$2:B1355,B1355,$D$2:D1355,D1355))</f>
        <v/>
      </c>
    </row>
    <row r="1356">
      <c r="A1356">
        <f>IF(B1356="","",VLOOKUP(B1356,Lists!$A$2:$B$25,2,FALSE)&amp;"-"&amp;D1356&amp;"-"&amp;TEXT(E1356,"000"))</f>
        <v/>
      </c>
      <c r="E1356">
        <f>IF(B1356="","",COUNTIFS($B$2:B1356,B1356,$D$2:D1356,D1356))</f>
        <v/>
      </c>
    </row>
    <row r="1357">
      <c r="A1357">
        <f>IF(B1357="","",VLOOKUP(B1357,Lists!$A$2:$B$25,2,FALSE)&amp;"-"&amp;D1357&amp;"-"&amp;TEXT(E1357,"000"))</f>
        <v/>
      </c>
      <c r="E1357">
        <f>IF(B1357="","",COUNTIFS($B$2:B1357,B1357,$D$2:D1357,D1357))</f>
        <v/>
      </c>
    </row>
    <row r="1358">
      <c r="A1358">
        <f>IF(B1358="","",VLOOKUP(B1358,Lists!$A$2:$B$25,2,FALSE)&amp;"-"&amp;D1358&amp;"-"&amp;TEXT(E1358,"000"))</f>
        <v/>
      </c>
      <c r="E1358">
        <f>IF(B1358="","",COUNTIFS($B$2:B1358,B1358,$D$2:D1358,D1358))</f>
        <v/>
      </c>
    </row>
    <row r="1359">
      <c r="A1359">
        <f>IF(B1359="","",VLOOKUP(B1359,Lists!$A$2:$B$25,2,FALSE)&amp;"-"&amp;D1359&amp;"-"&amp;TEXT(E1359,"000"))</f>
        <v/>
      </c>
      <c r="E1359">
        <f>IF(B1359="","",COUNTIFS($B$2:B1359,B1359,$D$2:D1359,D1359))</f>
        <v/>
      </c>
    </row>
    <row r="1360">
      <c r="A1360">
        <f>IF(B1360="","",VLOOKUP(B1360,Lists!$A$2:$B$25,2,FALSE)&amp;"-"&amp;D1360&amp;"-"&amp;TEXT(E1360,"000"))</f>
        <v/>
      </c>
      <c r="E1360">
        <f>IF(B1360="","",COUNTIFS($B$2:B1360,B1360,$D$2:D1360,D1360))</f>
        <v/>
      </c>
    </row>
    <row r="1361">
      <c r="A1361">
        <f>IF(B1361="","",VLOOKUP(B1361,Lists!$A$2:$B$25,2,FALSE)&amp;"-"&amp;D1361&amp;"-"&amp;TEXT(E1361,"000"))</f>
        <v/>
      </c>
      <c r="E1361">
        <f>IF(B1361="","",COUNTIFS($B$2:B1361,B1361,$D$2:D1361,D1361))</f>
        <v/>
      </c>
    </row>
    <row r="1362">
      <c r="A1362">
        <f>IF(B1362="","",VLOOKUP(B1362,Lists!$A$2:$B$25,2,FALSE)&amp;"-"&amp;D1362&amp;"-"&amp;TEXT(E1362,"000"))</f>
        <v/>
      </c>
      <c r="E1362">
        <f>IF(B1362="","",COUNTIFS($B$2:B1362,B1362,$D$2:D1362,D1362))</f>
        <v/>
      </c>
    </row>
    <row r="1363">
      <c r="A1363">
        <f>IF(B1363="","",VLOOKUP(B1363,Lists!$A$2:$B$25,2,FALSE)&amp;"-"&amp;D1363&amp;"-"&amp;TEXT(E1363,"000"))</f>
        <v/>
      </c>
      <c r="E1363">
        <f>IF(B1363="","",COUNTIFS($B$2:B1363,B1363,$D$2:D1363,D1363))</f>
        <v/>
      </c>
    </row>
    <row r="1364">
      <c r="A1364">
        <f>IF(B1364="","",VLOOKUP(B1364,Lists!$A$2:$B$25,2,FALSE)&amp;"-"&amp;D1364&amp;"-"&amp;TEXT(E1364,"000"))</f>
        <v/>
      </c>
      <c r="E1364">
        <f>IF(B1364="","",COUNTIFS($B$2:B1364,B1364,$D$2:D1364,D1364))</f>
        <v/>
      </c>
    </row>
    <row r="1365">
      <c r="A1365">
        <f>IF(B1365="","",VLOOKUP(B1365,Lists!$A$2:$B$25,2,FALSE)&amp;"-"&amp;D1365&amp;"-"&amp;TEXT(E1365,"000"))</f>
        <v/>
      </c>
      <c r="E1365">
        <f>IF(B1365="","",COUNTIFS($B$2:B1365,B1365,$D$2:D1365,D1365))</f>
        <v/>
      </c>
    </row>
    <row r="1366">
      <c r="A1366">
        <f>IF(B1366="","",VLOOKUP(B1366,Lists!$A$2:$B$25,2,FALSE)&amp;"-"&amp;D1366&amp;"-"&amp;TEXT(E1366,"000"))</f>
        <v/>
      </c>
      <c r="E1366">
        <f>IF(B1366="","",COUNTIFS($B$2:B1366,B1366,$D$2:D1366,D1366))</f>
        <v/>
      </c>
    </row>
    <row r="1367">
      <c r="A1367">
        <f>IF(B1367="","",VLOOKUP(B1367,Lists!$A$2:$B$25,2,FALSE)&amp;"-"&amp;D1367&amp;"-"&amp;TEXT(E1367,"000"))</f>
        <v/>
      </c>
      <c r="E1367">
        <f>IF(B1367="","",COUNTIFS($B$2:B1367,B1367,$D$2:D1367,D1367))</f>
        <v/>
      </c>
    </row>
    <row r="1368">
      <c r="A1368">
        <f>IF(B1368="","",VLOOKUP(B1368,Lists!$A$2:$B$25,2,FALSE)&amp;"-"&amp;D1368&amp;"-"&amp;TEXT(E1368,"000"))</f>
        <v/>
      </c>
      <c r="E1368">
        <f>IF(B1368="","",COUNTIFS($B$2:B1368,B1368,$D$2:D1368,D1368))</f>
        <v/>
      </c>
    </row>
    <row r="1369">
      <c r="A1369">
        <f>IF(B1369="","",VLOOKUP(B1369,Lists!$A$2:$B$25,2,FALSE)&amp;"-"&amp;D1369&amp;"-"&amp;TEXT(E1369,"000"))</f>
        <v/>
      </c>
      <c r="E1369">
        <f>IF(B1369="","",COUNTIFS($B$2:B1369,B1369,$D$2:D1369,D1369))</f>
        <v/>
      </c>
    </row>
    <row r="1370">
      <c r="A1370">
        <f>IF(B1370="","",VLOOKUP(B1370,Lists!$A$2:$B$25,2,FALSE)&amp;"-"&amp;D1370&amp;"-"&amp;TEXT(E1370,"000"))</f>
        <v/>
      </c>
      <c r="E1370">
        <f>IF(B1370="","",COUNTIFS($B$2:B1370,B1370,$D$2:D1370,D1370))</f>
        <v/>
      </c>
    </row>
    <row r="1371">
      <c r="A1371">
        <f>IF(B1371="","",VLOOKUP(B1371,Lists!$A$2:$B$25,2,FALSE)&amp;"-"&amp;D1371&amp;"-"&amp;TEXT(E1371,"000"))</f>
        <v/>
      </c>
      <c r="E1371">
        <f>IF(B1371="","",COUNTIFS($B$2:B1371,B1371,$D$2:D1371,D1371))</f>
        <v/>
      </c>
    </row>
    <row r="1372">
      <c r="A1372">
        <f>IF(B1372="","",VLOOKUP(B1372,Lists!$A$2:$B$25,2,FALSE)&amp;"-"&amp;D1372&amp;"-"&amp;TEXT(E1372,"000"))</f>
        <v/>
      </c>
      <c r="E1372">
        <f>IF(B1372="","",COUNTIFS($B$2:B1372,B1372,$D$2:D1372,D1372))</f>
        <v/>
      </c>
    </row>
    <row r="1373">
      <c r="A1373">
        <f>IF(B1373="","",VLOOKUP(B1373,Lists!$A$2:$B$25,2,FALSE)&amp;"-"&amp;D1373&amp;"-"&amp;TEXT(E1373,"000"))</f>
        <v/>
      </c>
      <c r="E1373">
        <f>IF(B1373="","",COUNTIFS($B$2:B1373,B1373,$D$2:D1373,D1373))</f>
        <v/>
      </c>
    </row>
    <row r="1374">
      <c r="A1374">
        <f>IF(B1374="","",VLOOKUP(B1374,Lists!$A$2:$B$25,2,FALSE)&amp;"-"&amp;D1374&amp;"-"&amp;TEXT(E1374,"000"))</f>
        <v/>
      </c>
      <c r="E1374">
        <f>IF(B1374="","",COUNTIFS($B$2:B1374,B1374,$D$2:D1374,D1374))</f>
        <v/>
      </c>
    </row>
    <row r="1375">
      <c r="A1375">
        <f>IF(B1375="","",VLOOKUP(B1375,Lists!$A$2:$B$25,2,FALSE)&amp;"-"&amp;D1375&amp;"-"&amp;TEXT(E1375,"000"))</f>
        <v/>
      </c>
      <c r="E1375">
        <f>IF(B1375="","",COUNTIFS($B$2:B1375,B1375,$D$2:D1375,D1375))</f>
        <v/>
      </c>
    </row>
    <row r="1376">
      <c r="A1376">
        <f>IF(B1376="","",VLOOKUP(B1376,Lists!$A$2:$B$25,2,FALSE)&amp;"-"&amp;D1376&amp;"-"&amp;TEXT(E1376,"000"))</f>
        <v/>
      </c>
      <c r="E1376">
        <f>IF(B1376="","",COUNTIFS($B$2:B1376,B1376,$D$2:D1376,D1376))</f>
        <v/>
      </c>
    </row>
    <row r="1377">
      <c r="A1377">
        <f>IF(B1377="","",VLOOKUP(B1377,Lists!$A$2:$B$25,2,FALSE)&amp;"-"&amp;D1377&amp;"-"&amp;TEXT(E1377,"000"))</f>
        <v/>
      </c>
      <c r="E1377">
        <f>IF(B1377="","",COUNTIFS($B$2:B1377,B1377,$D$2:D1377,D1377))</f>
        <v/>
      </c>
    </row>
    <row r="1378">
      <c r="A1378">
        <f>IF(B1378="","",VLOOKUP(B1378,Lists!$A$2:$B$25,2,FALSE)&amp;"-"&amp;D1378&amp;"-"&amp;TEXT(E1378,"000"))</f>
        <v/>
      </c>
      <c r="E1378">
        <f>IF(B1378="","",COUNTIFS($B$2:B1378,B1378,$D$2:D1378,D1378))</f>
        <v/>
      </c>
    </row>
    <row r="1379">
      <c r="A1379">
        <f>IF(B1379="","",VLOOKUP(B1379,Lists!$A$2:$B$25,2,FALSE)&amp;"-"&amp;D1379&amp;"-"&amp;TEXT(E1379,"000"))</f>
        <v/>
      </c>
      <c r="E1379">
        <f>IF(B1379="","",COUNTIFS($B$2:B1379,B1379,$D$2:D1379,D1379))</f>
        <v/>
      </c>
    </row>
    <row r="1380">
      <c r="A1380">
        <f>IF(B1380="","",VLOOKUP(B1380,Lists!$A$2:$B$25,2,FALSE)&amp;"-"&amp;D1380&amp;"-"&amp;TEXT(E1380,"000"))</f>
        <v/>
      </c>
      <c r="E1380">
        <f>IF(B1380="","",COUNTIFS($B$2:B1380,B1380,$D$2:D1380,D1380))</f>
        <v/>
      </c>
    </row>
    <row r="1381">
      <c r="A1381">
        <f>IF(B1381="","",VLOOKUP(B1381,Lists!$A$2:$B$25,2,FALSE)&amp;"-"&amp;D1381&amp;"-"&amp;TEXT(E1381,"000"))</f>
        <v/>
      </c>
      <c r="E1381">
        <f>IF(B1381="","",COUNTIFS($B$2:B1381,B1381,$D$2:D1381,D1381))</f>
        <v/>
      </c>
    </row>
    <row r="1382">
      <c r="A1382">
        <f>IF(B1382="","",VLOOKUP(B1382,Lists!$A$2:$B$25,2,FALSE)&amp;"-"&amp;D1382&amp;"-"&amp;TEXT(E1382,"000"))</f>
        <v/>
      </c>
      <c r="E1382">
        <f>IF(B1382="","",COUNTIFS($B$2:B1382,B1382,$D$2:D1382,D1382))</f>
        <v/>
      </c>
    </row>
    <row r="1383">
      <c r="A1383">
        <f>IF(B1383="","",VLOOKUP(B1383,Lists!$A$2:$B$25,2,FALSE)&amp;"-"&amp;D1383&amp;"-"&amp;TEXT(E1383,"000"))</f>
        <v/>
      </c>
      <c r="E1383">
        <f>IF(B1383="","",COUNTIFS($B$2:B1383,B1383,$D$2:D1383,D1383))</f>
        <v/>
      </c>
    </row>
    <row r="1384">
      <c r="A1384">
        <f>IF(B1384="","",VLOOKUP(B1384,Lists!$A$2:$B$25,2,FALSE)&amp;"-"&amp;D1384&amp;"-"&amp;TEXT(E1384,"000"))</f>
        <v/>
      </c>
      <c r="E1384">
        <f>IF(B1384="","",COUNTIFS($B$2:B1384,B1384,$D$2:D1384,D1384))</f>
        <v/>
      </c>
    </row>
    <row r="1385">
      <c r="A1385">
        <f>IF(B1385="","",VLOOKUP(B1385,Lists!$A$2:$B$25,2,FALSE)&amp;"-"&amp;D1385&amp;"-"&amp;TEXT(E1385,"000"))</f>
        <v/>
      </c>
      <c r="E1385">
        <f>IF(B1385="","",COUNTIFS($B$2:B1385,B1385,$D$2:D1385,D1385))</f>
        <v/>
      </c>
    </row>
    <row r="1386">
      <c r="A1386">
        <f>IF(B1386="","",VLOOKUP(B1386,Lists!$A$2:$B$25,2,FALSE)&amp;"-"&amp;D1386&amp;"-"&amp;TEXT(E1386,"000"))</f>
        <v/>
      </c>
      <c r="E1386">
        <f>IF(B1386="","",COUNTIFS($B$2:B1386,B1386,$D$2:D1386,D1386))</f>
        <v/>
      </c>
    </row>
    <row r="1387">
      <c r="A1387">
        <f>IF(B1387="","",VLOOKUP(B1387,Lists!$A$2:$B$25,2,FALSE)&amp;"-"&amp;D1387&amp;"-"&amp;TEXT(E1387,"000"))</f>
        <v/>
      </c>
      <c r="E1387">
        <f>IF(B1387="","",COUNTIFS($B$2:B1387,B1387,$D$2:D1387,D1387))</f>
        <v/>
      </c>
    </row>
    <row r="1388">
      <c r="A1388">
        <f>IF(B1388="","",VLOOKUP(B1388,Lists!$A$2:$B$25,2,FALSE)&amp;"-"&amp;D1388&amp;"-"&amp;TEXT(E1388,"000"))</f>
        <v/>
      </c>
      <c r="E1388">
        <f>IF(B1388="","",COUNTIFS($B$2:B1388,B1388,$D$2:D1388,D1388))</f>
        <v/>
      </c>
    </row>
    <row r="1389">
      <c r="A1389">
        <f>IF(B1389="","",VLOOKUP(B1389,Lists!$A$2:$B$25,2,FALSE)&amp;"-"&amp;D1389&amp;"-"&amp;TEXT(E1389,"000"))</f>
        <v/>
      </c>
      <c r="E1389">
        <f>IF(B1389="","",COUNTIFS($B$2:B1389,B1389,$D$2:D1389,D1389))</f>
        <v/>
      </c>
    </row>
    <row r="1390">
      <c r="A1390">
        <f>IF(B1390="","",VLOOKUP(B1390,Lists!$A$2:$B$25,2,FALSE)&amp;"-"&amp;D1390&amp;"-"&amp;TEXT(E1390,"000"))</f>
        <v/>
      </c>
      <c r="E1390">
        <f>IF(B1390="","",COUNTIFS($B$2:B1390,B1390,$D$2:D1390,D1390))</f>
        <v/>
      </c>
    </row>
    <row r="1391">
      <c r="A1391">
        <f>IF(B1391="","",VLOOKUP(B1391,Lists!$A$2:$B$25,2,FALSE)&amp;"-"&amp;D1391&amp;"-"&amp;TEXT(E1391,"000"))</f>
        <v/>
      </c>
      <c r="E1391">
        <f>IF(B1391="","",COUNTIFS($B$2:B1391,B1391,$D$2:D1391,D1391))</f>
        <v/>
      </c>
    </row>
    <row r="1392">
      <c r="A1392">
        <f>IF(B1392="","",VLOOKUP(B1392,Lists!$A$2:$B$25,2,FALSE)&amp;"-"&amp;D1392&amp;"-"&amp;TEXT(E1392,"000"))</f>
        <v/>
      </c>
      <c r="E1392">
        <f>IF(B1392="","",COUNTIFS($B$2:B1392,B1392,$D$2:D1392,D1392))</f>
        <v/>
      </c>
    </row>
    <row r="1393">
      <c r="A1393">
        <f>IF(B1393="","",VLOOKUP(B1393,Lists!$A$2:$B$25,2,FALSE)&amp;"-"&amp;D1393&amp;"-"&amp;TEXT(E1393,"000"))</f>
        <v/>
      </c>
      <c r="E1393">
        <f>IF(B1393="","",COUNTIFS($B$2:B1393,B1393,$D$2:D1393,D1393))</f>
        <v/>
      </c>
    </row>
    <row r="1394">
      <c r="A1394">
        <f>IF(B1394="","",VLOOKUP(B1394,Lists!$A$2:$B$25,2,FALSE)&amp;"-"&amp;D1394&amp;"-"&amp;TEXT(E1394,"000"))</f>
        <v/>
      </c>
      <c r="E1394">
        <f>IF(B1394="","",COUNTIFS($B$2:B1394,B1394,$D$2:D1394,D1394))</f>
        <v/>
      </c>
    </row>
    <row r="1395">
      <c r="A1395">
        <f>IF(B1395="","",VLOOKUP(B1395,Lists!$A$2:$B$25,2,FALSE)&amp;"-"&amp;D1395&amp;"-"&amp;TEXT(E1395,"000"))</f>
        <v/>
      </c>
      <c r="E1395">
        <f>IF(B1395="","",COUNTIFS($B$2:B1395,B1395,$D$2:D1395,D1395))</f>
        <v/>
      </c>
    </row>
    <row r="1396">
      <c r="A1396">
        <f>IF(B1396="","",VLOOKUP(B1396,Lists!$A$2:$B$25,2,FALSE)&amp;"-"&amp;D1396&amp;"-"&amp;TEXT(E1396,"000"))</f>
        <v/>
      </c>
      <c r="E1396">
        <f>IF(B1396="","",COUNTIFS($B$2:B1396,B1396,$D$2:D1396,D1396))</f>
        <v/>
      </c>
    </row>
    <row r="1397">
      <c r="A1397">
        <f>IF(B1397="","",VLOOKUP(B1397,Lists!$A$2:$B$25,2,FALSE)&amp;"-"&amp;D1397&amp;"-"&amp;TEXT(E1397,"000"))</f>
        <v/>
      </c>
      <c r="E1397">
        <f>IF(B1397="","",COUNTIFS($B$2:B1397,B1397,$D$2:D1397,D1397))</f>
        <v/>
      </c>
    </row>
    <row r="1398">
      <c r="A1398">
        <f>IF(B1398="","",VLOOKUP(B1398,Lists!$A$2:$B$25,2,FALSE)&amp;"-"&amp;D1398&amp;"-"&amp;TEXT(E1398,"000"))</f>
        <v/>
      </c>
      <c r="E1398">
        <f>IF(B1398="","",COUNTIFS($B$2:B1398,B1398,$D$2:D1398,D1398))</f>
        <v/>
      </c>
    </row>
    <row r="1399">
      <c r="A1399">
        <f>IF(B1399="","",VLOOKUP(B1399,Lists!$A$2:$B$25,2,FALSE)&amp;"-"&amp;D1399&amp;"-"&amp;TEXT(E1399,"000"))</f>
        <v/>
      </c>
      <c r="E1399">
        <f>IF(B1399="","",COUNTIFS($B$2:B1399,B1399,$D$2:D1399,D1399))</f>
        <v/>
      </c>
    </row>
    <row r="1400">
      <c r="A1400">
        <f>IF(B1400="","",VLOOKUP(B1400,Lists!$A$2:$B$25,2,FALSE)&amp;"-"&amp;D1400&amp;"-"&amp;TEXT(E1400,"000"))</f>
        <v/>
      </c>
      <c r="E1400">
        <f>IF(B1400="","",COUNTIFS($B$2:B1400,B1400,$D$2:D1400,D1400))</f>
        <v/>
      </c>
    </row>
    <row r="1401">
      <c r="A1401">
        <f>IF(B1401="","",VLOOKUP(B1401,Lists!$A$2:$B$25,2,FALSE)&amp;"-"&amp;D1401&amp;"-"&amp;TEXT(E1401,"000"))</f>
        <v/>
      </c>
      <c r="E1401">
        <f>IF(B1401="","",COUNTIFS($B$2:B1401,B1401,$D$2:D1401,D1401))</f>
        <v/>
      </c>
    </row>
    <row r="1402">
      <c r="A1402">
        <f>IF(B1402="","",VLOOKUP(B1402,Lists!$A$2:$B$25,2,FALSE)&amp;"-"&amp;D1402&amp;"-"&amp;TEXT(E1402,"000"))</f>
        <v/>
      </c>
      <c r="E1402">
        <f>IF(B1402="","",COUNTIFS($B$2:B1402,B1402,$D$2:D1402,D1402))</f>
        <v/>
      </c>
    </row>
    <row r="1403">
      <c r="A1403">
        <f>IF(B1403="","",VLOOKUP(B1403,Lists!$A$2:$B$25,2,FALSE)&amp;"-"&amp;D1403&amp;"-"&amp;TEXT(E1403,"000"))</f>
        <v/>
      </c>
      <c r="E1403">
        <f>IF(B1403="","",COUNTIFS($B$2:B1403,B1403,$D$2:D1403,D1403))</f>
        <v/>
      </c>
    </row>
    <row r="1404">
      <c r="A1404">
        <f>IF(B1404="","",VLOOKUP(B1404,Lists!$A$2:$B$25,2,FALSE)&amp;"-"&amp;D1404&amp;"-"&amp;TEXT(E1404,"000"))</f>
        <v/>
      </c>
      <c r="E1404">
        <f>IF(B1404="","",COUNTIFS($B$2:B1404,B1404,$D$2:D1404,D1404))</f>
        <v/>
      </c>
    </row>
    <row r="1405">
      <c r="A1405">
        <f>IF(B1405="","",VLOOKUP(B1405,Lists!$A$2:$B$25,2,FALSE)&amp;"-"&amp;D1405&amp;"-"&amp;TEXT(E1405,"000"))</f>
        <v/>
      </c>
      <c r="E1405">
        <f>IF(B1405="","",COUNTIFS($B$2:B1405,B1405,$D$2:D1405,D1405))</f>
        <v/>
      </c>
    </row>
    <row r="1406">
      <c r="A1406">
        <f>IF(B1406="","",VLOOKUP(B1406,Lists!$A$2:$B$25,2,FALSE)&amp;"-"&amp;D1406&amp;"-"&amp;TEXT(E1406,"000"))</f>
        <v/>
      </c>
      <c r="E1406">
        <f>IF(B1406="","",COUNTIFS($B$2:B1406,B1406,$D$2:D1406,D1406))</f>
        <v/>
      </c>
    </row>
    <row r="1407">
      <c r="A1407">
        <f>IF(B1407="","",VLOOKUP(B1407,Lists!$A$2:$B$25,2,FALSE)&amp;"-"&amp;D1407&amp;"-"&amp;TEXT(E1407,"000"))</f>
        <v/>
      </c>
      <c r="E1407">
        <f>IF(B1407="","",COUNTIFS($B$2:B1407,B1407,$D$2:D1407,D1407))</f>
        <v/>
      </c>
    </row>
    <row r="1408">
      <c r="A1408">
        <f>IF(B1408="","",VLOOKUP(B1408,Lists!$A$2:$B$25,2,FALSE)&amp;"-"&amp;D1408&amp;"-"&amp;TEXT(E1408,"000"))</f>
        <v/>
      </c>
      <c r="E1408">
        <f>IF(B1408="","",COUNTIFS($B$2:B1408,B1408,$D$2:D1408,D1408))</f>
        <v/>
      </c>
    </row>
    <row r="1409">
      <c r="A1409">
        <f>IF(B1409="","",VLOOKUP(B1409,Lists!$A$2:$B$25,2,FALSE)&amp;"-"&amp;D1409&amp;"-"&amp;TEXT(E1409,"000"))</f>
        <v/>
      </c>
      <c r="E1409">
        <f>IF(B1409="","",COUNTIFS($B$2:B1409,B1409,$D$2:D1409,D1409))</f>
        <v/>
      </c>
    </row>
    <row r="1410">
      <c r="A1410">
        <f>IF(B1410="","",VLOOKUP(B1410,Lists!$A$2:$B$25,2,FALSE)&amp;"-"&amp;D1410&amp;"-"&amp;TEXT(E1410,"000"))</f>
        <v/>
      </c>
      <c r="E1410">
        <f>IF(B1410="","",COUNTIFS($B$2:B1410,B1410,$D$2:D1410,D1410))</f>
        <v/>
      </c>
    </row>
    <row r="1411">
      <c r="A1411">
        <f>IF(B1411="","",VLOOKUP(B1411,Lists!$A$2:$B$25,2,FALSE)&amp;"-"&amp;D1411&amp;"-"&amp;TEXT(E1411,"000"))</f>
        <v/>
      </c>
      <c r="E1411">
        <f>IF(B1411="","",COUNTIFS($B$2:B1411,B1411,$D$2:D1411,D1411))</f>
        <v/>
      </c>
    </row>
    <row r="1412">
      <c r="A1412">
        <f>IF(B1412="","",VLOOKUP(B1412,Lists!$A$2:$B$25,2,FALSE)&amp;"-"&amp;D1412&amp;"-"&amp;TEXT(E1412,"000"))</f>
        <v/>
      </c>
      <c r="E1412">
        <f>IF(B1412="","",COUNTIFS($B$2:B1412,B1412,$D$2:D1412,D1412))</f>
        <v/>
      </c>
    </row>
    <row r="1413">
      <c r="A1413">
        <f>IF(B1413="","",VLOOKUP(B1413,Lists!$A$2:$B$25,2,FALSE)&amp;"-"&amp;D1413&amp;"-"&amp;TEXT(E1413,"000"))</f>
        <v/>
      </c>
      <c r="E1413">
        <f>IF(B1413="","",COUNTIFS($B$2:B1413,B1413,$D$2:D1413,D1413))</f>
        <v/>
      </c>
    </row>
    <row r="1414">
      <c r="A1414">
        <f>IF(B1414="","",VLOOKUP(B1414,Lists!$A$2:$B$25,2,FALSE)&amp;"-"&amp;D1414&amp;"-"&amp;TEXT(E1414,"000"))</f>
        <v/>
      </c>
      <c r="E1414">
        <f>IF(B1414="","",COUNTIFS($B$2:B1414,B1414,$D$2:D1414,D1414))</f>
        <v/>
      </c>
    </row>
    <row r="1415">
      <c r="A1415">
        <f>IF(B1415="","",VLOOKUP(B1415,Lists!$A$2:$B$25,2,FALSE)&amp;"-"&amp;D1415&amp;"-"&amp;TEXT(E1415,"000"))</f>
        <v/>
      </c>
      <c r="E1415">
        <f>IF(B1415="","",COUNTIFS($B$2:B1415,B1415,$D$2:D1415,D1415))</f>
        <v/>
      </c>
    </row>
    <row r="1416">
      <c r="A1416">
        <f>IF(B1416="","",VLOOKUP(B1416,Lists!$A$2:$B$25,2,FALSE)&amp;"-"&amp;D1416&amp;"-"&amp;TEXT(E1416,"000"))</f>
        <v/>
      </c>
      <c r="E1416">
        <f>IF(B1416="","",COUNTIFS($B$2:B1416,B1416,$D$2:D1416,D1416))</f>
        <v/>
      </c>
    </row>
    <row r="1417">
      <c r="A1417">
        <f>IF(B1417="","",VLOOKUP(B1417,Lists!$A$2:$B$25,2,FALSE)&amp;"-"&amp;D1417&amp;"-"&amp;TEXT(E1417,"000"))</f>
        <v/>
      </c>
      <c r="E1417">
        <f>IF(B1417="","",COUNTIFS($B$2:B1417,B1417,$D$2:D1417,D1417))</f>
        <v/>
      </c>
    </row>
    <row r="1418">
      <c r="A1418">
        <f>IF(B1418="","",VLOOKUP(B1418,Lists!$A$2:$B$25,2,FALSE)&amp;"-"&amp;D1418&amp;"-"&amp;TEXT(E1418,"000"))</f>
        <v/>
      </c>
      <c r="E1418">
        <f>IF(B1418="","",COUNTIFS($B$2:B1418,B1418,$D$2:D1418,D1418))</f>
        <v/>
      </c>
    </row>
    <row r="1419">
      <c r="A1419">
        <f>IF(B1419="","",VLOOKUP(B1419,Lists!$A$2:$B$25,2,FALSE)&amp;"-"&amp;D1419&amp;"-"&amp;TEXT(E1419,"000"))</f>
        <v/>
      </c>
      <c r="E1419">
        <f>IF(B1419="","",COUNTIFS($B$2:B1419,B1419,$D$2:D1419,D1419))</f>
        <v/>
      </c>
    </row>
    <row r="1420">
      <c r="A1420">
        <f>IF(B1420="","",VLOOKUP(B1420,Lists!$A$2:$B$25,2,FALSE)&amp;"-"&amp;D1420&amp;"-"&amp;TEXT(E1420,"000"))</f>
        <v/>
      </c>
      <c r="E1420">
        <f>IF(B1420="","",COUNTIFS($B$2:B1420,B1420,$D$2:D1420,D1420))</f>
        <v/>
      </c>
    </row>
    <row r="1421">
      <c r="A1421">
        <f>IF(B1421="","",VLOOKUP(B1421,Lists!$A$2:$B$25,2,FALSE)&amp;"-"&amp;D1421&amp;"-"&amp;TEXT(E1421,"000"))</f>
        <v/>
      </c>
      <c r="E1421">
        <f>IF(B1421="","",COUNTIFS($B$2:B1421,B1421,$D$2:D1421,D1421))</f>
        <v/>
      </c>
    </row>
    <row r="1422">
      <c r="A1422">
        <f>IF(B1422="","",VLOOKUP(B1422,Lists!$A$2:$B$25,2,FALSE)&amp;"-"&amp;D1422&amp;"-"&amp;TEXT(E1422,"000"))</f>
        <v/>
      </c>
      <c r="E1422">
        <f>IF(B1422="","",COUNTIFS($B$2:B1422,B1422,$D$2:D1422,D1422))</f>
        <v/>
      </c>
    </row>
    <row r="1423">
      <c r="A1423">
        <f>IF(B1423="","",VLOOKUP(B1423,Lists!$A$2:$B$25,2,FALSE)&amp;"-"&amp;D1423&amp;"-"&amp;TEXT(E1423,"000"))</f>
        <v/>
      </c>
      <c r="E1423">
        <f>IF(B1423="","",COUNTIFS($B$2:B1423,B1423,$D$2:D1423,D1423))</f>
        <v/>
      </c>
    </row>
    <row r="1424">
      <c r="A1424">
        <f>IF(B1424="","",VLOOKUP(B1424,Lists!$A$2:$B$25,2,FALSE)&amp;"-"&amp;D1424&amp;"-"&amp;TEXT(E1424,"000"))</f>
        <v/>
      </c>
      <c r="E1424">
        <f>IF(B1424="","",COUNTIFS($B$2:B1424,B1424,$D$2:D1424,D1424))</f>
        <v/>
      </c>
    </row>
    <row r="1425">
      <c r="A1425">
        <f>IF(B1425="","",VLOOKUP(B1425,Lists!$A$2:$B$25,2,FALSE)&amp;"-"&amp;D1425&amp;"-"&amp;TEXT(E1425,"000"))</f>
        <v/>
      </c>
      <c r="E1425">
        <f>IF(B1425="","",COUNTIFS($B$2:B1425,B1425,$D$2:D1425,D1425))</f>
        <v/>
      </c>
    </row>
    <row r="1426">
      <c r="A1426">
        <f>IF(B1426="","",VLOOKUP(B1426,Lists!$A$2:$B$25,2,FALSE)&amp;"-"&amp;D1426&amp;"-"&amp;TEXT(E1426,"000"))</f>
        <v/>
      </c>
      <c r="E1426">
        <f>IF(B1426="","",COUNTIFS($B$2:B1426,B1426,$D$2:D1426,D1426))</f>
        <v/>
      </c>
    </row>
    <row r="1427">
      <c r="A1427">
        <f>IF(B1427="","",VLOOKUP(B1427,Lists!$A$2:$B$25,2,FALSE)&amp;"-"&amp;D1427&amp;"-"&amp;TEXT(E1427,"000"))</f>
        <v/>
      </c>
      <c r="E1427">
        <f>IF(B1427="","",COUNTIFS($B$2:B1427,B1427,$D$2:D1427,D1427))</f>
        <v/>
      </c>
    </row>
    <row r="1428">
      <c r="A1428">
        <f>IF(B1428="","",VLOOKUP(B1428,Lists!$A$2:$B$25,2,FALSE)&amp;"-"&amp;D1428&amp;"-"&amp;TEXT(E1428,"000"))</f>
        <v/>
      </c>
      <c r="E1428">
        <f>IF(B1428="","",COUNTIFS($B$2:B1428,B1428,$D$2:D1428,D1428))</f>
        <v/>
      </c>
    </row>
    <row r="1429">
      <c r="A1429">
        <f>IF(B1429="","",VLOOKUP(B1429,Lists!$A$2:$B$25,2,FALSE)&amp;"-"&amp;D1429&amp;"-"&amp;TEXT(E1429,"000"))</f>
        <v/>
      </c>
      <c r="E1429">
        <f>IF(B1429="","",COUNTIFS($B$2:B1429,B1429,$D$2:D1429,D1429))</f>
        <v/>
      </c>
    </row>
    <row r="1430">
      <c r="A1430">
        <f>IF(B1430="","",VLOOKUP(B1430,Lists!$A$2:$B$25,2,FALSE)&amp;"-"&amp;D1430&amp;"-"&amp;TEXT(E1430,"000"))</f>
        <v/>
      </c>
      <c r="E1430">
        <f>IF(B1430="","",COUNTIFS($B$2:B1430,B1430,$D$2:D1430,D1430))</f>
        <v/>
      </c>
    </row>
    <row r="1431">
      <c r="A1431">
        <f>IF(B1431="","",VLOOKUP(B1431,Lists!$A$2:$B$25,2,FALSE)&amp;"-"&amp;D1431&amp;"-"&amp;TEXT(E1431,"000"))</f>
        <v/>
      </c>
      <c r="E1431">
        <f>IF(B1431="","",COUNTIFS($B$2:B1431,B1431,$D$2:D1431,D1431))</f>
        <v/>
      </c>
    </row>
    <row r="1432">
      <c r="A1432">
        <f>IF(B1432="","",VLOOKUP(B1432,Lists!$A$2:$B$25,2,FALSE)&amp;"-"&amp;D1432&amp;"-"&amp;TEXT(E1432,"000"))</f>
        <v/>
      </c>
      <c r="E1432">
        <f>IF(B1432="","",COUNTIFS($B$2:B1432,B1432,$D$2:D1432,D1432))</f>
        <v/>
      </c>
    </row>
    <row r="1433">
      <c r="A1433">
        <f>IF(B1433="","",VLOOKUP(B1433,Lists!$A$2:$B$25,2,FALSE)&amp;"-"&amp;D1433&amp;"-"&amp;TEXT(E1433,"000"))</f>
        <v/>
      </c>
      <c r="E1433">
        <f>IF(B1433="","",COUNTIFS($B$2:B1433,B1433,$D$2:D1433,D1433))</f>
        <v/>
      </c>
    </row>
    <row r="1434">
      <c r="A1434">
        <f>IF(B1434="","",VLOOKUP(B1434,Lists!$A$2:$B$25,2,FALSE)&amp;"-"&amp;D1434&amp;"-"&amp;TEXT(E1434,"000"))</f>
        <v/>
      </c>
      <c r="E1434">
        <f>IF(B1434="","",COUNTIFS($B$2:B1434,B1434,$D$2:D1434,D1434))</f>
        <v/>
      </c>
    </row>
    <row r="1435">
      <c r="A1435">
        <f>IF(B1435="","",VLOOKUP(B1435,Lists!$A$2:$B$25,2,FALSE)&amp;"-"&amp;D1435&amp;"-"&amp;TEXT(E1435,"000"))</f>
        <v/>
      </c>
      <c r="E1435">
        <f>IF(B1435="","",COUNTIFS($B$2:B1435,B1435,$D$2:D1435,D1435))</f>
        <v/>
      </c>
    </row>
    <row r="1436">
      <c r="A1436">
        <f>IF(B1436="","",VLOOKUP(B1436,Lists!$A$2:$B$25,2,FALSE)&amp;"-"&amp;D1436&amp;"-"&amp;TEXT(E1436,"000"))</f>
        <v/>
      </c>
      <c r="E1436">
        <f>IF(B1436="","",COUNTIFS($B$2:B1436,B1436,$D$2:D1436,D1436))</f>
        <v/>
      </c>
    </row>
    <row r="1437">
      <c r="A1437">
        <f>IF(B1437="","",VLOOKUP(B1437,Lists!$A$2:$B$25,2,FALSE)&amp;"-"&amp;D1437&amp;"-"&amp;TEXT(E1437,"000"))</f>
        <v/>
      </c>
      <c r="E1437">
        <f>IF(B1437="","",COUNTIFS($B$2:B1437,B1437,$D$2:D1437,D1437))</f>
        <v/>
      </c>
    </row>
    <row r="1438">
      <c r="A1438">
        <f>IF(B1438="","",VLOOKUP(B1438,Lists!$A$2:$B$25,2,FALSE)&amp;"-"&amp;D1438&amp;"-"&amp;TEXT(E1438,"000"))</f>
        <v/>
      </c>
      <c r="E1438">
        <f>IF(B1438="","",COUNTIFS($B$2:B1438,B1438,$D$2:D1438,D1438))</f>
        <v/>
      </c>
    </row>
    <row r="1439">
      <c r="A1439">
        <f>IF(B1439="","",VLOOKUP(B1439,Lists!$A$2:$B$25,2,FALSE)&amp;"-"&amp;D1439&amp;"-"&amp;TEXT(E1439,"000"))</f>
        <v/>
      </c>
      <c r="E1439">
        <f>IF(B1439="","",COUNTIFS($B$2:B1439,B1439,$D$2:D1439,D1439))</f>
        <v/>
      </c>
    </row>
    <row r="1440">
      <c r="A1440">
        <f>IF(B1440="","",VLOOKUP(B1440,Lists!$A$2:$B$25,2,FALSE)&amp;"-"&amp;D1440&amp;"-"&amp;TEXT(E1440,"000"))</f>
        <v/>
      </c>
      <c r="E1440">
        <f>IF(B1440="","",COUNTIFS($B$2:B1440,B1440,$D$2:D1440,D1440))</f>
        <v/>
      </c>
    </row>
    <row r="1441">
      <c r="A1441">
        <f>IF(B1441="","",VLOOKUP(B1441,Lists!$A$2:$B$25,2,FALSE)&amp;"-"&amp;D1441&amp;"-"&amp;TEXT(E1441,"000"))</f>
        <v/>
      </c>
      <c r="E1441">
        <f>IF(B1441="","",COUNTIFS($B$2:B1441,B1441,$D$2:D1441,D1441))</f>
        <v/>
      </c>
    </row>
    <row r="1442">
      <c r="A1442">
        <f>IF(B1442="","",VLOOKUP(B1442,Lists!$A$2:$B$25,2,FALSE)&amp;"-"&amp;D1442&amp;"-"&amp;TEXT(E1442,"000"))</f>
        <v/>
      </c>
      <c r="E1442">
        <f>IF(B1442="","",COUNTIFS($B$2:B1442,B1442,$D$2:D1442,D1442))</f>
        <v/>
      </c>
    </row>
    <row r="1443">
      <c r="A1443">
        <f>IF(B1443="","",VLOOKUP(B1443,Lists!$A$2:$B$25,2,FALSE)&amp;"-"&amp;D1443&amp;"-"&amp;TEXT(E1443,"000"))</f>
        <v/>
      </c>
      <c r="E1443">
        <f>IF(B1443="","",COUNTIFS($B$2:B1443,B1443,$D$2:D1443,D1443))</f>
        <v/>
      </c>
    </row>
    <row r="1444">
      <c r="A1444">
        <f>IF(B1444="","",VLOOKUP(B1444,Lists!$A$2:$B$25,2,FALSE)&amp;"-"&amp;D1444&amp;"-"&amp;TEXT(E1444,"000"))</f>
        <v/>
      </c>
      <c r="E1444">
        <f>IF(B1444="","",COUNTIFS($B$2:B1444,B1444,$D$2:D1444,D1444))</f>
        <v/>
      </c>
    </row>
    <row r="1445">
      <c r="A1445">
        <f>IF(B1445="","",VLOOKUP(B1445,Lists!$A$2:$B$25,2,FALSE)&amp;"-"&amp;D1445&amp;"-"&amp;TEXT(E1445,"000"))</f>
        <v/>
      </c>
      <c r="E1445">
        <f>IF(B1445="","",COUNTIFS($B$2:B1445,B1445,$D$2:D1445,D1445))</f>
        <v/>
      </c>
    </row>
    <row r="1446">
      <c r="A1446">
        <f>IF(B1446="","",VLOOKUP(B1446,Lists!$A$2:$B$25,2,FALSE)&amp;"-"&amp;D1446&amp;"-"&amp;TEXT(E1446,"000"))</f>
        <v/>
      </c>
      <c r="E1446">
        <f>IF(B1446="","",COUNTIFS($B$2:B1446,B1446,$D$2:D1446,D1446))</f>
        <v/>
      </c>
    </row>
    <row r="1447">
      <c r="A1447">
        <f>IF(B1447="","",VLOOKUP(B1447,Lists!$A$2:$B$25,2,FALSE)&amp;"-"&amp;D1447&amp;"-"&amp;TEXT(E1447,"000"))</f>
        <v/>
      </c>
      <c r="E1447">
        <f>IF(B1447="","",COUNTIFS($B$2:B1447,B1447,$D$2:D1447,D1447))</f>
        <v/>
      </c>
    </row>
    <row r="1448">
      <c r="A1448">
        <f>IF(B1448="","",VLOOKUP(B1448,Lists!$A$2:$B$25,2,FALSE)&amp;"-"&amp;D1448&amp;"-"&amp;TEXT(E1448,"000"))</f>
        <v/>
      </c>
      <c r="E1448">
        <f>IF(B1448="","",COUNTIFS($B$2:B1448,B1448,$D$2:D1448,D1448))</f>
        <v/>
      </c>
    </row>
    <row r="1449">
      <c r="A1449">
        <f>IF(B1449="","",VLOOKUP(B1449,Lists!$A$2:$B$25,2,FALSE)&amp;"-"&amp;D1449&amp;"-"&amp;TEXT(E1449,"000"))</f>
        <v/>
      </c>
      <c r="E1449">
        <f>IF(B1449="","",COUNTIFS($B$2:B1449,B1449,$D$2:D1449,D1449))</f>
        <v/>
      </c>
    </row>
    <row r="1450">
      <c r="A1450">
        <f>IF(B1450="","",VLOOKUP(B1450,Lists!$A$2:$B$25,2,FALSE)&amp;"-"&amp;D1450&amp;"-"&amp;TEXT(E1450,"000"))</f>
        <v/>
      </c>
      <c r="E1450">
        <f>IF(B1450="","",COUNTIFS($B$2:B1450,B1450,$D$2:D1450,D1450))</f>
        <v/>
      </c>
    </row>
    <row r="1451">
      <c r="A1451">
        <f>IF(B1451="","",VLOOKUP(B1451,Lists!$A$2:$B$25,2,FALSE)&amp;"-"&amp;D1451&amp;"-"&amp;TEXT(E1451,"000"))</f>
        <v/>
      </c>
      <c r="E1451">
        <f>IF(B1451="","",COUNTIFS($B$2:B1451,B1451,$D$2:D1451,D1451))</f>
        <v/>
      </c>
    </row>
    <row r="1452">
      <c r="A1452">
        <f>IF(B1452="","",VLOOKUP(B1452,Lists!$A$2:$B$25,2,FALSE)&amp;"-"&amp;D1452&amp;"-"&amp;TEXT(E1452,"000"))</f>
        <v/>
      </c>
      <c r="E1452">
        <f>IF(B1452="","",COUNTIFS($B$2:B1452,B1452,$D$2:D1452,D1452))</f>
        <v/>
      </c>
    </row>
    <row r="1453">
      <c r="A1453">
        <f>IF(B1453="","",VLOOKUP(B1453,Lists!$A$2:$B$25,2,FALSE)&amp;"-"&amp;D1453&amp;"-"&amp;TEXT(E1453,"000"))</f>
        <v/>
      </c>
      <c r="E1453">
        <f>IF(B1453="","",COUNTIFS($B$2:B1453,B1453,$D$2:D1453,D1453))</f>
        <v/>
      </c>
    </row>
    <row r="1454">
      <c r="A1454">
        <f>IF(B1454="","",VLOOKUP(B1454,Lists!$A$2:$B$25,2,FALSE)&amp;"-"&amp;D1454&amp;"-"&amp;TEXT(E1454,"000"))</f>
        <v/>
      </c>
      <c r="E1454">
        <f>IF(B1454="","",COUNTIFS($B$2:B1454,B1454,$D$2:D1454,D1454))</f>
        <v/>
      </c>
    </row>
    <row r="1455">
      <c r="A1455">
        <f>IF(B1455="","",VLOOKUP(B1455,Lists!$A$2:$B$25,2,FALSE)&amp;"-"&amp;D1455&amp;"-"&amp;TEXT(E1455,"000"))</f>
        <v/>
      </c>
      <c r="E1455">
        <f>IF(B1455="","",COUNTIFS($B$2:B1455,B1455,$D$2:D1455,D1455))</f>
        <v/>
      </c>
    </row>
    <row r="1456">
      <c r="A1456">
        <f>IF(B1456="","",VLOOKUP(B1456,Lists!$A$2:$B$25,2,FALSE)&amp;"-"&amp;D1456&amp;"-"&amp;TEXT(E1456,"000"))</f>
        <v/>
      </c>
      <c r="E1456">
        <f>IF(B1456="","",COUNTIFS($B$2:B1456,B1456,$D$2:D1456,D1456))</f>
        <v/>
      </c>
    </row>
    <row r="1457">
      <c r="A1457">
        <f>IF(B1457="","",VLOOKUP(B1457,Lists!$A$2:$B$25,2,FALSE)&amp;"-"&amp;D1457&amp;"-"&amp;TEXT(E1457,"000"))</f>
        <v/>
      </c>
      <c r="E1457">
        <f>IF(B1457="","",COUNTIFS($B$2:B1457,B1457,$D$2:D1457,D1457))</f>
        <v/>
      </c>
    </row>
    <row r="1458">
      <c r="A1458">
        <f>IF(B1458="","",VLOOKUP(B1458,Lists!$A$2:$B$25,2,FALSE)&amp;"-"&amp;D1458&amp;"-"&amp;TEXT(E1458,"000"))</f>
        <v/>
      </c>
      <c r="E1458">
        <f>IF(B1458="","",COUNTIFS($B$2:B1458,B1458,$D$2:D1458,D1458))</f>
        <v/>
      </c>
    </row>
    <row r="1459">
      <c r="A1459">
        <f>IF(B1459="","",VLOOKUP(B1459,Lists!$A$2:$B$25,2,FALSE)&amp;"-"&amp;D1459&amp;"-"&amp;TEXT(E1459,"000"))</f>
        <v/>
      </c>
      <c r="E1459">
        <f>IF(B1459="","",COUNTIFS($B$2:B1459,B1459,$D$2:D1459,D1459))</f>
        <v/>
      </c>
    </row>
    <row r="1460">
      <c r="A1460">
        <f>IF(B1460="","",VLOOKUP(B1460,Lists!$A$2:$B$25,2,FALSE)&amp;"-"&amp;D1460&amp;"-"&amp;TEXT(E1460,"000"))</f>
        <v/>
      </c>
      <c r="E1460">
        <f>IF(B1460="","",COUNTIFS($B$2:B1460,B1460,$D$2:D1460,D1460))</f>
        <v/>
      </c>
    </row>
    <row r="1461">
      <c r="A1461">
        <f>IF(B1461="","",VLOOKUP(B1461,Lists!$A$2:$B$25,2,FALSE)&amp;"-"&amp;D1461&amp;"-"&amp;TEXT(E1461,"000"))</f>
        <v/>
      </c>
      <c r="E1461">
        <f>IF(B1461="","",COUNTIFS($B$2:B1461,B1461,$D$2:D1461,D1461))</f>
        <v/>
      </c>
    </row>
    <row r="1462">
      <c r="A1462">
        <f>IF(B1462="","",VLOOKUP(B1462,Lists!$A$2:$B$25,2,FALSE)&amp;"-"&amp;D1462&amp;"-"&amp;TEXT(E1462,"000"))</f>
        <v/>
      </c>
      <c r="E1462">
        <f>IF(B1462="","",COUNTIFS($B$2:B1462,B1462,$D$2:D1462,D1462))</f>
        <v/>
      </c>
    </row>
    <row r="1463">
      <c r="A1463">
        <f>IF(B1463="","",VLOOKUP(B1463,Lists!$A$2:$B$25,2,FALSE)&amp;"-"&amp;D1463&amp;"-"&amp;TEXT(E1463,"000"))</f>
        <v/>
      </c>
      <c r="E1463">
        <f>IF(B1463="","",COUNTIFS($B$2:B1463,B1463,$D$2:D1463,D1463))</f>
        <v/>
      </c>
    </row>
    <row r="1464">
      <c r="A1464">
        <f>IF(B1464="","",VLOOKUP(B1464,Lists!$A$2:$B$25,2,FALSE)&amp;"-"&amp;D1464&amp;"-"&amp;TEXT(E1464,"000"))</f>
        <v/>
      </c>
      <c r="E1464">
        <f>IF(B1464="","",COUNTIFS($B$2:B1464,B1464,$D$2:D1464,D1464))</f>
        <v/>
      </c>
    </row>
    <row r="1465">
      <c r="A1465">
        <f>IF(B1465="","",VLOOKUP(B1465,Lists!$A$2:$B$25,2,FALSE)&amp;"-"&amp;D1465&amp;"-"&amp;TEXT(E1465,"000"))</f>
        <v/>
      </c>
      <c r="E1465">
        <f>IF(B1465="","",COUNTIFS($B$2:B1465,B1465,$D$2:D1465,D1465))</f>
        <v/>
      </c>
    </row>
    <row r="1466">
      <c r="A1466">
        <f>IF(B1466="","",VLOOKUP(B1466,Lists!$A$2:$B$25,2,FALSE)&amp;"-"&amp;D1466&amp;"-"&amp;TEXT(E1466,"000"))</f>
        <v/>
      </c>
      <c r="E1466">
        <f>IF(B1466="","",COUNTIFS($B$2:B1466,B1466,$D$2:D1466,D1466))</f>
        <v/>
      </c>
    </row>
    <row r="1467">
      <c r="A1467">
        <f>IF(B1467="","",VLOOKUP(B1467,Lists!$A$2:$B$25,2,FALSE)&amp;"-"&amp;D1467&amp;"-"&amp;TEXT(E1467,"000"))</f>
        <v/>
      </c>
      <c r="E1467">
        <f>IF(B1467="","",COUNTIFS($B$2:B1467,B1467,$D$2:D1467,D1467))</f>
        <v/>
      </c>
    </row>
    <row r="1468">
      <c r="A1468">
        <f>IF(B1468="","",VLOOKUP(B1468,Lists!$A$2:$B$25,2,FALSE)&amp;"-"&amp;D1468&amp;"-"&amp;TEXT(E1468,"000"))</f>
        <v/>
      </c>
      <c r="E1468">
        <f>IF(B1468="","",COUNTIFS($B$2:B1468,B1468,$D$2:D1468,D1468))</f>
        <v/>
      </c>
    </row>
    <row r="1469">
      <c r="A1469">
        <f>IF(B1469="","",VLOOKUP(B1469,Lists!$A$2:$B$25,2,FALSE)&amp;"-"&amp;D1469&amp;"-"&amp;TEXT(E1469,"000"))</f>
        <v/>
      </c>
      <c r="E1469">
        <f>IF(B1469="","",COUNTIFS($B$2:B1469,B1469,$D$2:D1469,D1469))</f>
        <v/>
      </c>
    </row>
    <row r="1470">
      <c r="A1470">
        <f>IF(B1470="","",VLOOKUP(B1470,Lists!$A$2:$B$25,2,FALSE)&amp;"-"&amp;D1470&amp;"-"&amp;TEXT(E1470,"000"))</f>
        <v/>
      </c>
      <c r="E1470">
        <f>IF(B1470="","",COUNTIFS($B$2:B1470,B1470,$D$2:D1470,D1470))</f>
        <v/>
      </c>
    </row>
    <row r="1471">
      <c r="A1471">
        <f>IF(B1471="","",VLOOKUP(B1471,Lists!$A$2:$B$25,2,FALSE)&amp;"-"&amp;D1471&amp;"-"&amp;TEXT(E1471,"000"))</f>
        <v/>
      </c>
      <c r="E1471">
        <f>IF(B1471="","",COUNTIFS($B$2:B1471,B1471,$D$2:D1471,D1471))</f>
        <v/>
      </c>
    </row>
    <row r="1472">
      <c r="A1472">
        <f>IF(B1472="","",VLOOKUP(B1472,Lists!$A$2:$B$25,2,FALSE)&amp;"-"&amp;D1472&amp;"-"&amp;TEXT(E1472,"000"))</f>
        <v/>
      </c>
      <c r="E1472">
        <f>IF(B1472="","",COUNTIFS($B$2:B1472,B1472,$D$2:D1472,D1472))</f>
        <v/>
      </c>
    </row>
    <row r="1473">
      <c r="A1473">
        <f>IF(B1473="","",VLOOKUP(B1473,Lists!$A$2:$B$25,2,FALSE)&amp;"-"&amp;D1473&amp;"-"&amp;TEXT(E1473,"000"))</f>
        <v/>
      </c>
      <c r="E1473">
        <f>IF(B1473="","",COUNTIFS($B$2:B1473,B1473,$D$2:D1473,D1473))</f>
        <v/>
      </c>
    </row>
    <row r="1474">
      <c r="A1474">
        <f>IF(B1474="","",VLOOKUP(B1474,Lists!$A$2:$B$25,2,FALSE)&amp;"-"&amp;D1474&amp;"-"&amp;TEXT(E1474,"000"))</f>
        <v/>
      </c>
      <c r="E1474">
        <f>IF(B1474="","",COUNTIFS($B$2:B1474,B1474,$D$2:D1474,D1474))</f>
        <v/>
      </c>
    </row>
    <row r="1475">
      <c r="A1475">
        <f>IF(B1475="","",VLOOKUP(B1475,Lists!$A$2:$B$25,2,FALSE)&amp;"-"&amp;D1475&amp;"-"&amp;TEXT(E1475,"000"))</f>
        <v/>
      </c>
      <c r="E1475">
        <f>IF(B1475="","",COUNTIFS($B$2:B1475,B1475,$D$2:D1475,D1475))</f>
        <v/>
      </c>
    </row>
    <row r="1476">
      <c r="A1476">
        <f>IF(B1476="","",VLOOKUP(B1476,Lists!$A$2:$B$25,2,FALSE)&amp;"-"&amp;D1476&amp;"-"&amp;TEXT(E1476,"000"))</f>
        <v/>
      </c>
      <c r="E1476">
        <f>IF(B1476="","",COUNTIFS($B$2:B1476,B1476,$D$2:D1476,D1476))</f>
        <v/>
      </c>
    </row>
    <row r="1477">
      <c r="A1477">
        <f>IF(B1477="","",VLOOKUP(B1477,Lists!$A$2:$B$25,2,FALSE)&amp;"-"&amp;D1477&amp;"-"&amp;TEXT(E1477,"000"))</f>
        <v/>
      </c>
      <c r="E1477">
        <f>IF(B1477="","",COUNTIFS($B$2:B1477,B1477,$D$2:D1477,D1477))</f>
        <v/>
      </c>
    </row>
    <row r="1478">
      <c r="A1478">
        <f>IF(B1478="","",VLOOKUP(B1478,Lists!$A$2:$B$25,2,FALSE)&amp;"-"&amp;D1478&amp;"-"&amp;TEXT(E1478,"000"))</f>
        <v/>
      </c>
      <c r="E1478">
        <f>IF(B1478="","",COUNTIFS($B$2:B1478,B1478,$D$2:D1478,D1478))</f>
        <v/>
      </c>
    </row>
    <row r="1479">
      <c r="A1479">
        <f>IF(B1479="","",VLOOKUP(B1479,Lists!$A$2:$B$25,2,FALSE)&amp;"-"&amp;D1479&amp;"-"&amp;TEXT(E1479,"000"))</f>
        <v/>
      </c>
      <c r="E1479">
        <f>IF(B1479="","",COUNTIFS($B$2:B1479,B1479,$D$2:D1479,D1479))</f>
        <v/>
      </c>
    </row>
    <row r="1480">
      <c r="A1480">
        <f>IF(B1480="","",VLOOKUP(B1480,Lists!$A$2:$B$25,2,FALSE)&amp;"-"&amp;D1480&amp;"-"&amp;TEXT(E1480,"000"))</f>
        <v/>
      </c>
      <c r="E1480">
        <f>IF(B1480="","",COUNTIFS($B$2:B1480,B1480,$D$2:D1480,D1480))</f>
        <v/>
      </c>
    </row>
    <row r="1481">
      <c r="A1481">
        <f>IF(B1481="","",VLOOKUP(B1481,Lists!$A$2:$B$25,2,FALSE)&amp;"-"&amp;D1481&amp;"-"&amp;TEXT(E1481,"000"))</f>
        <v/>
      </c>
      <c r="E1481">
        <f>IF(B1481="","",COUNTIFS($B$2:B1481,B1481,$D$2:D1481,D1481))</f>
        <v/>
      </c>
    </row>
    <row r="1482">
      <c r="A1482">
        <f>IF(B1482="","",VLOOKUP(B1482,Lists!$A$2:$B$25,2,FALSE)&amp;"-"&amp;D1482&amp;"-"&amp;TEXT(E1482,"000"))</f>
        <v/>
      </c>
      <c r="E1482">
        <f>IF(B1482="","",COUNTIFS($B$2:B1482,B1482,$D$2:D1482,D1482))</f>
        <v/>
      </c>
    </row>
    <row r="1483">
      <c r="A1483">
        <f>IF(B1483="","",VLOOKUP(B1483,Lists!$A$2:$B$25,2,FALSE)&amp;"-"&amp;D1483&amp;"-"&amp;TEXT(E1483,"000"))</f>
        <v/>
      </c>
      <c r="E1483">
        <f>IF(B1483="","",COUNTIFS($B$2:B1483,B1483,$D$2:D1483,D1483))</f>
        <v/>
      </c>
    </row>
    <row r="1484">
      <c r="A1484">
        <f>IF(B1484="","",VLOOKUP(B1484,Lists!$A$2:$B$25,2,FALSE)&amp;"-"&amp;D1484&amp;"-"&amp;TEXT(E1484,"000"))</f>
        <v/>
      </c>
      <c r="E1484">
        <f>IF(B1484="","",COUNTIFS($B$2:B1484,B1484,$D$2:D1484,D1484))</f>
        <v/>
      </c>
    </row>
    <row r="1485">
      <c r="A1485">
        <f>IF(B1485="","",VLOOKUP(B1485,Lists!$A$2:$B$25,2,FALSE)&amp;"-"&amp;D1485&amp;"-"&amp;TEXT(E1485,"000"))</f>
        <v/>
      </c>
      <c r="E1485">
        <f>IF(B1485="","",COUNTIFS($B$2:B1485,B1485,$D$2:D1485,D1485))</f>
        <v/>
      </c>
    </row>
    <row r="1486">
      <c r="A1486">
        <f>IF(B1486="","",VLOOKUP(B1486,Lists!$A$2:$B$25,2,FALSE)&amp;"-"&amp;D1486&amp;"-"&amp;TEXT(E1486,"000"))</f>
        <v/>
      </c>
      <c r="E1486">
        <f>IF(B1486="","",COUNTIFS($B$2:B1486,B1486,$D$2:D1486,D1486))</f>
        <v/>
      </c>
    </row>
    <row r="1487">
      <c r="A1487">
        <f>IF(B1487="","",VLOOKUP(B1487,Lists!$A$2:$B$25,2,FALSE)&amp;"-"&amp;D1487&amp;"-"&amp;TEXT(E1487,"000"))</f>
        <v/>
      </c>
      <c r="E1487">
        <f>IF(B1487="","",COUNTIFS($B$2:B1487,B1487,$D$2:D1487,D1487))</f>
        <v/>
      </c>
    </row>
    <row r="1488">
      <c r="A1488">
        <f>IF(B1488="","",VLOOKUP(B1488,Lists!$A$2:$B$25,2,FALSE)&amp;"-"&amp;D1488&amp;"-"&amp;TEXT(E1488,"000"))</f>
        <v/>
      </c>
      <c r="E1488">
        <f>IF(B1488="","",COUNTIFS($B$2:B1488,B1488,$D$2:D1488,D1488))</f>
        <v/>
      </c>
    </row>
    <row r="1489">
      <c r="A1489">
        <f>IF(B1489="","",VLOOKUP(B1489,Lists!$A$2:$B$25,2,FALSE)&amp;"-"&amp;D1489&amp;"-"&amp;TEXT(E1489,"000"))</f>
        <v/>
      </c>
      <c r="E1489">
        <f>IF(B1489="","",COUNTIFS($B$2:B1489,B1489,$D$2:D1489,D1489))</f>
        <v/>
      </c>
    </row>
    <row r="1490">
      <c r="A1490">
        <f>IF(B1490="","",VLOOKUP(B1490,Lists!$A$2:$B$25,2,FALSE)&amp;"-"&amp;D1490&amp;"-"&amp;TEXT(E1490,"000"))</f>
        <v/>
      </c>
      <c r="E1490">
        <f>IF(B1490="","",COUNTIFS($B$2:B1490,B1490,$D$2:D1490,D1490))</f>
        <v/>
      </c>
    </row>
    <row r="1491">
      <c r="A1491">
        <f>IF(B1491="","",VLOOKUP(B1491,Lists!$A$2:$B$25,2,FALSE)&amp;"-"&amp;D1491&amp;"-"&amp;TEXT(E1491,"000"))</f>
        <v/>
      </c>
      <c r="E1491">
        <f>IF(B1491="","",COUNTIFS($B$2:B1491,B1491,$D$2:D1491,D1491))</f>
        <v/>
      </c>
    </row>
    <row r="1492">
      <c r="A1492">
        <f>IF(B1492="","",VLOOKUP(B1492,Lists!$A$2:$B$25,2,FALSE)&amp;"-"&amp;D1492&amp;"-"&amp;TEXT(E1492,"000"))</f>
        <v/>
      </c>
      <c r="E1492">
        <f>IF(B1492="","",COUNTIFS($B$2:B1492,B1492,$D$2:D1492,D1492))</f>
        <v/>
      </c>
    </row>
    <row r="1493">
      <c r="A1493">
        <f>IF(B1493="","",VLOOKUP(B1493,Lists!$A$2:$B$25,2,FALSE)&amp;"-"&amp;D1493&amp;"-"&amp;TEXT(E1493,"000"))</f>
        <v/>
      </c>
      <c r="E1493">
        <f>IF(B1493="","",COUNTIFS($B$2:B1493,B1493,$D$2:D1493,D1493))</f>
        <v/>
      </c>
    </row>
    <row r="1494">
      <c r="A1494">
        <f>IF(B1494="","",VLOOKUP(B1494,Lists!$A$2:$B$25,2,FALSE)&amp;"-"&amp;D1494&amp;"-"&amp;TEXT(E1494,"000"))</f>
        <v/>
      </c>
      <c r="E1494">
        <f>IF(B1494="","",COUNTIFS($B$2:B1494,B1494,$D$2:D1494,D1494))</f>
        <v/>
      </c>
    </row>
    <row r="1495">
      <c r="A1495">
        <f>IF(B1495="","",VLOOKUP(B1495,Lists!$A$2:$B$25,2,FALSE)&amp;"-"&amp;D1495&amp;"-"&amp;TEXT(E1495,"000"))</f>
        <v/>
      </c>
      <c r="E1495">
        <f>IF(B1495="","",COUNTIFS($B$2:B1495,B1495,$D$2:D1495,D1495))</f>
        <v/>
      </c>
    </row>
    <row r="1496">
      <c r="A1496">
        <f>IF(B1496="","",VLOOKUP(B1496,Lists!$A$2:$B$25,2,FALSE)&amp;"-"&amp;D1496&amp;"-"&amp;TEXT(E1496,"000"))</f>
        <v/>
      </c>
      <c r="E1496">
        <f>IF(B1496="","",COUNTIFS($B$2:B1496,B1496,$D$2:D1496,D1496))</f>
        <v/>
      </c>
    </row>
    <row r="1497">
      <c r="A1497">
        <f>IF(B1497="","",VLOOKUP(B1497,Lists!$A$2:$B$25,2,FALSE)&amp;"-"&amp;D1497&amp;"-"&amp;TEXT(E1497,"000"))</f>
        <v/>
      </c>
      <c r="E1497">
        <f>IF(B1497="","",COUNTIFS($B$2:B1497,B1497,$D$2:D1497,D1497))</f>
        <v/>
      </c>
    </row>
    <row r="1498">
      <c r="A1498">
        <f>IF(B1498="","",VLOOKUP(B1498,Lists!$A$2:$B$25,2,FALSE)&amp;"-"&amp;D1498&amp;"-"&amp;TEXT(E1498,"000"))</f>
        <v/>
      </c>
      <c r="E1498">
        <f>IF(B1498="","",COUNTIFS($B$2:B1498,B1498,$D$2:D1498,D1498))</f>
        <v/>
      </c>
    </row>
    <row r="1499">
      <c r="A1499">
        <f>IF(B1499="","",VLOOKUP(B1499,Lists!$A$2:$B$25,2,FALSE)&amp;"-"&amp;D1499&amp;"-"&amp;TEXT(E1499,"000"))</f>
        <v/>
      </c>
      <c r="E1499">
        <f>IF(B1499="","",COUNTIFS($B$2:B1499,B1499,$D$2:D1499,D1499))</f>
        <v/>
      </c>
    </row>
  </sheetData>
  <dataValidations count="6">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showDropDown="0" showInputMessage="0" showErrorMessage="0" allowBlank="1" type="list">
      <formula1>Lists!$A$2:$A$25</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showDropDown="0" showInputMessage="0" showErrorMessage="0" allowBlank="1" type="list">
      <formula1>Lists!$A$28:$A$74</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showDropDown="0" showInputMessage="0" showErrorMessage="0" allowBlank="1" type="list">
      <formula1>Lists!$A$78:$A$84</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showDropDown="0" showInputMessage="0" showErrorMessage="0" allowBlank="1" type="list">
      <formula1>Lists!$A$88:$A$93</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showDropDown="0" showInputMessage="0" showErrorMessage="0" allowBlank="1" type="list">
      <formula1>Lists!$A$97:$A$102</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showDropDown="0" showInputMessage="0" showErrorMessage="0" allowBlank="1" type="list">
      <formula1>Lists!$A$106:$A$111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c r="A1" t="inlineStr">
        <is>
          <t>Species</t>
        </is>
      </c>
      <c r="B1" t="inlineStr">
        <is>
          <t>Code</t>
        </is>
      </c>
    </row>
    <row r="2">
      <c r="A2" t="inlineStr">
        <is>
          <t>Juniperus chinensis</t>
        </is>
      </c>
      <c r="B2" t="inlineStr">
        <is>
          <t>JCH</t>
        </is>
      </c>
    </row>
    <row r="3">
      <c r="A3" t="inlineStr">
        <is>
          <t>Juniperus procumbens</t>
        </is>
      </c>
      <c r="B3" t="inlineStr">
        <is>
          <t>JPR</t>
        </is>
      </c>
    </row>
    <row r="4">
      <c r="A4" t="inlineStr">
        <is>
          <t>Juniperus rigida</t>
        </is>
      </c>
      <c r="B4" t="inlineStr">
        <is>
          <t>JRI</t>
        </is>
      </c>
    </row>
    <row r="5">
      <c r="A5" t="inlineStr">
        <is>
          <t>Juniperus communis</t>
        </is>
      </c>
      <c r="B5" t="inlineStr">
        <is>
          <t>JCO</t>
        </is>
      </c>
    </row>
    <row r="6">
      <c r="A6" t="inlineStr">
        <is>
          <t>Juniperus sabina</t>
        </is>
      </c>
      <c r="B6" t="inlineStr">
        <is>
          <t>JSA</t>
        </is>
      </c>
    </row>
    <row r="7">
      <c r="A7" t="inlineStr">
        <is>
          <t>Acer palmatum</t>
        </is>
      </c>
      <c r="B7" t="inlineStr">
        <is>
          <t>APA</t>
        </is>
      </c>
    </row>
    <row r="8">
      <c r="A8" t="inlineStr">
        <is>
          <t>Acer buergerianum</t>
        </is>
      </c>
      <c r="B8" t="inlineStr">
        <is>
          <t>ABU</t>
        </is>
      </c>
    </row>
    <row r="9">
      <c r="A9" t="inlineStr">
        <is>
          <t>Acer japonicum</t>
        </is>
      </c>
      <c r="B9" t="inlineStr">
        <is>
          <t>AJO</t>
        </is>
      </c>
    </row>
    <row r="10">
      <c r="A10" t="inlineStr">
        <is>
          <t>Acer campestre</t>
        </is>
      </c>
      <c r="B10" t="inlineStr">
        <is>
          <t>ACA</t>
        </is>
      </c>
    </row>
    <row r="11">
      <c r="A11" t="inlineStr">
        <is>
          <t>Pinus thunbergii</t>
        </is>
      </c>
      <c r="B11" t="inlineStr">
        <is>
          <t>PTH</t>
        </is>
      </c>
    </row>
    <row r="12">
      <c r="A12" t="inlineStr">
        <is>
          <t>Pinus sylvestris</t>
        </is>
      </c>
      <c r="B12" t="inlineStr">
        <is>
          <t>PSY</t>
        </is>
      </c>
    </row>
    <row r="13">
      <c r="A13" t="inlineStr">
        <is>
          <t>Pinus mugo</t>
        </is>
      </c>
      <c r="B13" t="inlineStr">
        <is>
          <t>PMU</t>
        </is>
      </c>
    </row>
    <row r="14">
      <c r="A14" t="inlineStr">
        <is>
          <t>Pinus parviflora</t>
        </is>
      </c>
      <c r="B14" t="inlineStr">
        <is>
          <t>PPF</t>
        </is>
      </c>
    </row>
    <row r="15">
      <c r="A15" t="inlineStr">
        <is>
          <t>Larix decidua</t>
        </is>
      </c>
      <c r="B15" t="inlineStr">
        <is>
          <t>LDE</t>
        </is>
      </c>
    </row>
    <row r="16">
      <c r="A16" t="inlineStr">
        <is>
          <t>Larix kaempferi</t>
        </is>
      </c>
      <c r="B16" t="inlineStr">
        <is>
          <t>LKA</t>
        </is>
      </c>
    </row>
    <row r="17">
      <c r="A17" t="inlineStr">
        <is>
          <t>Picea abies</t>
        </is>
      </c>
      <c r="B17" t="inlineStr">
        <is>
          <t>PAB</t>
        </is>
      </c>
    </row>
    <row r="18">
      <c r="A18" t="inlineStr">
        <is>
          <t>Taxus baccata</t>
        </is>
      </c>
      <c r="B18" t="inlineStr">
        <is>
          <t>TBA</t>
        </is>
      </c>
    </row>
    <row r="19">
      <c r="A19" t="inlineStr">
        <is>
          <t>Ulmus parvifolia</t>
        </is>
      </c>
      <c r="B19" t="inlineStr">
        <is>
          <t>UPA</t>
        </is>
      </c>
    </row>
    <row r="20">
      <c r="A20" t="inlineStr">
        <is>
          <t>Ulmus minor</t>
        </is>
      </c>
      <c r="B20" t="inlineStr">
        <is>
          <t>UMI</t>
        </is>
      </c>
    </row>
    <row r="21">
      <c r="A21" t="inlineStr">
        <is>
          <t>Carpinus betulus</t>
        </is>
      </c>
      <c r="B21" t="inlineStr">
        <is>
          <t>CBE</t>
        </is>
      </c>
    </row>
    <row r="22">
      <c r="A22" t="inlineStr">
        <is>
          <t>Carpinus coreana</t>
        </is>
      </c>
      <c r="B22" t="inlineStr">
        <is>
          <t>CCO</t>
        </is>
      </c>
    </row>
    <row r="23">
      <c r="A23" t="inlineStr">
        <is>
          <t>Fagus sylvatica</t>
        </is>
      </c>
      <c r="B23" t="inlineStr">
        <is>
          <t>FSY</t>
        </is>
      </c>
    </row>
    <row r="24">
      <c r="A24" t="inlineStr">
        <is>
          <t>Betula pendula</t>
        </is>
      </c>
      <c r="B24" t="inlineStr">
        <is>
          <t>BPE</t>
        </is>
      </c>
    </row>
    <row r="25">
      <c r="A25" t="inlineStr">
        <is>
          <t>Pyrus pyraster</t>
        </is>
      </c>
      <c r="B25" t="inlineStr">
        <is>
          <t>PPY</t>
        </is>
      </c>
    </row>
    <row r="27">
      <c r="A27" t="inlineStr">
        <is>
          <t>Varieties</t>
        </is>
      </c>
    </row>
    <row r="28">
      <c r="A28" t="inlineStr">
        <is>
          <t>Itoigawa</t>
        </is>
      </c>
    </row>
    <row r="29">
      <c r="A29" t="inlineStr">
        <is>
          <t>Kishu</t>
        </is>
      </c>
    </row>
    <row r="30">
      <c r="A30" t="inlineStr">
        <is>
          <t>Shimpaku</t>
        </is>
      </c>
    </row>
    <row r="31">
      <c r="A31" t="inlineStr">
        <is>
          <t>Blaauw</t>
        </is>
      </c>
    </row>
    <row r="32">
      <c r="A32" t="inlineStr">
        <is>
          <t>Blue Alps</t>
        </is>
      </c>
    </row>
    <row r="33">
      <c r="A33" t="inlineStr">
        <is>
          <t>San Jose</t>
        </is>
      </c>
    </row>
    <row r="34">
      <c r="A34" t="inlineStr">
        <is>
          <t>Sargentii</t>
        </is>
      </c>
    </row>
    <row r="35">
      <c r="A35" t="inlineStr">
        <is>
          <t>Deshojo</t>
        </is>
      </c>
    </row>
    <row r="36">
      <c r="A36" t="inlineStr">
        <is>
          <t>Seigen</t>
        </is>
      </c>
    </row>
    <row r="37">
      <c r="A37" t="inlineStr">
        <is>
          <t>Kiyohime</t>
        </is>
      </c>
    </row>
    <row r="38">
      <c r="A38" t="inlineStr">
        <is>
          <t>Katsura</t>
        </is>
      </c>
    </row>
    <row r="39">
      <c r="A39" t="inlineStr">
        <is>
          <t>Shishigashira</t>
        </is>
      </c>
    </row>
    <row r="40">
      <c r="A40" t="inlineStr">
        <is>
          <t>Arakawa</t>
        </is>
      </c>
    </row>
    <row r="41">
      <c r="A41" t="inlineStr">
        <is>
          <t>Atropurpureum</t>
        </is>
      </c>
    </row>
    <row r="42">
      <c r="A42" t="inlineStr">
        <is>
          <t>Butterfly</t>
        </is>
      </c>
    </row>
    <row r="43">
      <c r="A43" t="inlineStr">
        <is>
          <t>Orange Dream</t>
        </is>
      </c>
    </row>
    <row r="44">
      <c r="A44" t="inlineStr">
        <is>
          <t>Sango kaku</t>
        </is>
      </c>
    </row>
    <row r="45">
      <c r="A45" t="inlineStr">
        <is>
          <t>Beni Maiko</t>
        </is>
      </c>
    </row>
    <row r="46">
      <c r="A46" t="inlineStr">
        <is>
          <t>Beni Hime</t>
        </is>
      </c>
    </row>
    <row r="47">
      <c r="A47" t="inlineStr">
        <is>
          <t>Shaina</t>
        </is>
      </c>
    </row>
    <row r="48">
      <c r="A48" t="inlineStr">
        <is>
          <t>Mikawa Yatsubusa</t>
        </is>
      </c>
    </row>
    <row r="49">
      <c r="A49" t="inlineStr">
        <is>
          <t>Kotohime</t>
        </is>
      </c>
    </row>
    <row r="50">
      <c r="A50" t="inlineStr">
        <is>
          <t>Little Princess</t>
        </is>
      </c>
    </row>
    <row r="51">
      <c r="A51" t="inlineStr">
        <is>
          <t>Bloodgood</t>
        </is>
      </c>
    </row>
    <row r="52">
      <c r="A52" t="inlineStr">
        <is>
          <t>Osakazuki</t>
        </is>
      </c>
    </row>
    <row r="53">
      <c r="A53" t="inlineStr">
        <is>
          <t>Skeeters Broom</t>
        </is>
      </c>
    </row>
    <row r="54">
      <c r="A54" t="inlineStr">
        <is>
          <t>Inaba Shidare</t>
        </is>
      </c>
    </row>
    <row r="55">
      <c r="A55" t="inlineStr">
        <is>
          <t>Tamukeyama</t>
        </is>
      </c>
    </row>
    <row r="56">
      <c r="A56" t="inlineStr">
        <is>
          <t>Viridis</t>
        </is>
      </c>
    </row>
    <row r="57">
      <c r="A57" t="inlineStr">
        <is>
          <t>Garnet</t>
        </is>
      </c>
    </row>
    <row r="58">
      <c r="A58" t="inlineStr">
        <is>
          <t>Red Dragon</t>
        </is>
      </c>
    </row>
    <row r="59">
      <c r="A59" t="inlineStr">
        <is>
          <t>Orangeola</t>
        </is>
      </c>
    </row>
    <row r="60">
      <c r="A60" t="inlineStr">
        <is>
          <t>Ukigumo</t>
        </is>
      </c>
    </row>
    <row r="61">
      <c r="A61" t="inlineStr">
        <is>
          <t>Aoyagi</t>
        </is>
      </c>
    </row>
    <row r="62">
      <c r="A62" t="inlineStr">
        <is>
          <t>Kamagata</t>
        </is>
      </c>
    </row>
    <row r="63">
      <c r="A63" t="inlineStr">
        <is>
          <t>Hogyoku</t>
        </is>
      </c>
    </row>
    <row r="64">
      <c r="A64" t="inlineStr">
        <is>
          <t>Moonrise</t>
        </is>
      </c>
    </row>
    <row r="65">
      <c r="A65" t="inlineStr">
        <is>
          <t>Peaches and Cream</t>
        </is>
      </c>
    </row>
    <row r="66">
      <c r="A66" t="inlineStr">
        <is>
          <t>Purple Ghost</t>
        </is>
      </c>
    </row>
    <row r="67">
      <c r="A67" t="inlineStr">
        <is>
          <t>Amber Ghost</t>
        </is>
      </c>
    </row>
    <row r="68">
      <c r="A68" t="inlineStr">
        <is>
          <t>Sister Ghost</t>
        </is>
      </c>
    </row>
    <row r="69">
      <c r="A69" t="inlineStr">
        <is>
          <t>Fireglow</t>
        </is>
      </c>
    </row>
    <row r="70">
      <c r="A70" t="inlineStr">
        <is>
          <t>Red Emperor</t>
        </is>
      </c>
    </row>
    <row r="71">
      <c r="A71" t="inlineStr">
        <is>
          <t>Trompenburg</t>
        </is>
      </c>
    </row>
    <row r="72">
      <c r="A72" t="inlineStr">
        <is>
          <t>Generic seed grown</t>
        </is>
      </c>
    </row>
    <row r="73">
      <c r="A73" t="inlineStr">
        <is>
          <t>Field grown</t>
        </is>
      </c>
    </row>
    <row r="74">
      <c r="A74" t="inlineStr">
        <is>
          <t>Collected yamadori</t>
        </is>
      </c>
    </row>
    <row r="77">
      <c r="A77" t="inlineStr">
        <is>
          <t>Status</t>
        </is>
      </c>
    </row>
    <row r="78">
      <c r="A78" t="inlineStr">
        <is>
          <t>Frøplante</t>
        </is>
      </c>
    </row>
    <row r="79">
      <c r="A79" t="inlineStr">
        <is>
          <t>Stikling</t>
        </is>
      </c>
    </row>
    <row r="80">
      <c r="A80" t="inlineStr">
        <is>
          <t>Ungplante</t>
        </is>
      </c>
    </row>
    <row r="81">
      <c r="A81" t="inlineStr">
        <is>
          <t>Prebonsai</t>
        </is>
      </c>
    </row>
    <row r="82">
      <c r="A82" t="inlineStr">
        <is>
          <t>Under utvikling</t>
        </is>
      </c>
    </row>
    <row r="83">
      <c r="A83" t="inlineStr">
        <is>
          <t>Bonsai</t>
        </is>
      </c>
    </row>
    <row r="84">
      <c r="A84" t="inlineStr">
        <is>
          <t>Ferdig bonsai</t>
        </is>
      </c>
    </row>
    <row r="87">
      <c r="A87" t="inlineStr">
        <is>
          <t>Acquisition</t>
        </is>
      </c>
    </row>
    <row r="88">
      <c r="A88" t="inlineStr">
        <is>
          <t>Frø</t>
        </is>
      </c>
    </row>
    <row r="89">
      <c r="A89" t="inlineStr">
        <is>
          <t>Stikling</t>
        </is>
      </c>
    </row>
    <row r="90">
      <c r="A90" t="inlineStr">
        <is>
          <t>Yamadori</t>
        </is>
      </c>
    </row>
    <row r="91">
      <c r="A91" t="inlineStr">
        <is>
          <t>Plantekjøp</t>
        </is>
      </c>
    </row>
    <row r="92">
      <c r="A92" t="inlineStr">
        <is>
          <t>Gave</t>
        </is>
      </c>
    </row>
    <row r="93">
      <c r="A93" t="inlineStr">
        <is>
          <t>Bytte</t>
        </is>
      </c>
    </row>
    <row r="96">
      <c r="A96" t="inlineStr">
        <is>
          <t>Pots</t>
        </is>
      </c>
    </row>
    <row r="97">
      <c r="A97" t="inlineStr">
        <is>
          <t>Treningspotte</t>
        </is>
      </c>
    </row>
    <row r="98">
      <c r="A98" t="inlineStr">
        <is>
          <t>Plastpotte</t>
        </is>
      </c>
    </row>
    <row r="99">
      <c r="A99" t="inlineStr">
        <is>
          <t>Keramikk</t>
        </is>
      </c>
    </row>
    <row r="100">
      <c r="A100" t="inlineStr">
        <is>
          <t>Tokoname</t>
        </is>
      </c>
    </row>
    <row r="101">
      <c r="A101" t="inlineStr">
        <is>
          <t>Hjemmelaget</t>
        </is>
      </c>
    </row>
    <row r="102">
      <c r="A102" t="inlineStr">
        <is>
          <t>Ingen potte</t>
        </is>
      </c>
    </row>
    <row r="105">
      <c r="A105" t="inlineStr">
        <is>
          <t>Locations</t>
        </is>
      </c>
    </row>
    <row r="106">
      <c r="A106" t="inlineStr">
        <is>
          <t>Hage</t>
        </is>
      </c>
    </row>
    <row r="107">
      <c r="A107" t="inlineStr">
        <is>
          <t>Drivhus</t>
        </is>
      </c>
    </row>
    <row r="108">
      <c r="A108" t="inlineStr">
        <is>
          <t>Kaldbenk</t>
        </is>
      </c>
    </row>
    <row r="109">
      <c r="A109" t="inlineStr">
        <is>
          <t>Bonsai-bord</t>
        </is>
      </c>
    </row>
    <row r="110">
      <c r="A110" t="inlineStr">
        <is>
          <t>Vinterlagring</t>
        </is>
      </c>
    </row>
    <row r="111">
      <c r="A111" t="inlineStr">
        <is>
          <t>Innendørs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Bonsai samling oversikt</t>
        </is>
      </c>
    </row>
    <row r="3">
      <c r="A3" t="inlineStr">
        <is>
          <t>Totalt antall trær:</t>
        </is>
      </c>
      <c r="B3">
        <f>COUNTA(Trees!A:A)-1</f>
        <v/>
      </c>
    </row>
    <row r="5">
      <c r="A5" t="inlineStr">
        <is>
          <t>Antall Bonsai:</t>
        </is>
      </c>
      <c r="B5">
        <f>COUNTIF(Trees!F:F,"Bonsai")</f>
        <v/>
      </c>
    </row>
    <row r="6">
      <c r="A6" t="inlineStr">
        <is>
          <t>Antall Prebonsai:</t>
        </is>
      </c>
      <c r="B6">
        <f>COUNTIF(Trees!F:F,"Prebonsai")</f>
        <v/>
      </c>
    </row>
    <row r="7">
      <c r="A7" t="inlineStr">
        <is>
          <t>Antall Yamadori:</t>
        </is>
      </c>
      <c r="B7">
        <f>COUNTIF(Trees!G:G,"Yamadori")</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2026-03-15T18:49:48Z</dcterms:created>
  <dcterms:modified xmlns:dcterms="http://purl.org/dc/terms/" xmlns:xsi="http://www.w3.org/2001/XMLSchema-instance" xsi:type="dcterms:W3CDTF">2026-03-15T18:49:50Z</dcterms:modified>
</cp:coreProperties>
</file>